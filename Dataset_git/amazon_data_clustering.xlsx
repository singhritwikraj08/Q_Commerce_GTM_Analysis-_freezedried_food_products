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"/>
    </mc:Choice>
  </mc:AlternateContent>
  <xr:revisionPtr revIDLastSave="0" documentId="13_ncr:1_{FFF85364-6A8D-49A7-A345-427C700CAB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2" r:id="rId1"/>
    <sheet name="Sheet1" sheetId="1" r:id="rId2"/>
    <sheet name="Focus_products" sheetId="4" r:id="rId3"/>
  </sheets>
  <definedNames>
    <definedName name="_xlnm._FilterDatabase" localSheetId="2" hidden="1">Focus_products!$A$1:$G$1</definedName>
    <definedName name="_xlnm._FilterDatabase" localSheetId="1" hidden="1">Sheet1!$A$1:$F$49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L20" i="2"/>
  <c r="L25" i="2"/>
  <c r="L23" i="2"/>
  <c r="L26" i="2"/>
  <c r="L19" i="2"/>
  <c r="L21" i="2"/>
  <c r="L27" i="2"/>
  <c r="L24" i="2"/>
  <c r="L18" i="2"/>
  <c r="E21" i="2"/>
  <c r="E22" i="2"/>
  <c r="E18" i="2"/>
  <c r="E24" i="2"/>
  <c r="E19" i="2"/>
  <c r="E23" i="2"/>
  <c r="E26" i="2"/>
  <c r="E27" i="2"/>
  <c r="E20" i="2"/>
  <c r="E25" i="2"/>
</calcChain>
</file>

<file path=xl/sharedStrings.xml><?xml version="1.0" encoding="utf-8"?>
<sst xmlns="http://schemas.openxmlformats.org/spreadsheetml/2006/main" count="97" uniqueCount="68">
  <si>
    <t>product-name</t>
  </si>
  <si>
    <t>Pareto % Products</t>
  </si>
  <si>
    <t>Sum of absolute-quantity-gms</t>
  </si>
  <si>
    <t>Sum of Net_Price</t>
  </si>
  <si>
    <t>cluster</t>
  </si>
  <si>
    <t>FZYEZY Freeze Dried Apple Slices for Kids and Adults</t>
  </si>
  <si>
    <t>FZYEZY Freeze Dried Black Jamun Fruit for Kids and Adults</t>
  </si>
  <si>
    <t>FZYEZY Freeze Dried Custard Apple Fruit Powder for Kids and Adults</t>
  </si>
  <si>
    <t>FzyEzy Freeze Dried Fruit Powder for Gourmet</t>
  </si>
  <si>
    <t>FzyEzy Freeze Dried Gajar Ka Halwa</t>
  </si>
  <si>
    <t>FzyEzy Freeze Dried Ginger Vegetable Powder for Kids and Adults</t>
  </si>
  <si>
    <t>FZYEZY Freeze Dried Mango Fruit Powder for Kids and Adults</t>
  </si>
  <si>
    <t>FZYEZY Freeze Dried Pink Guava Powder for Kids and Adults</t>
  </si>
  <si>
    <t>FzyEzy Freeze-Dried Apple Powder - 100% Natural, Non-GMO, Vegan, Gluten-Free Fruit Powder</t>
  </si>
  <si>
    <t>FzyEzy Freeze-Dried Celery Powder - 100% Natural, Non-GMO, Vegan, Gluten-Free Superfood</t>
  </si>
  <si>
    <t>FzyEzy Freeze-Dried Jain Kadhi Khichdi</t>
  </si>
  <si>
    <t>FzyEzy Freeze-Dried Jain Paneer Bhurji</t>
  </si>
  <si>
    <t>FzyEzy Freeze-Dried Jain Paneer Butter Masala</t>
  </si>
  <si>
    <t>FzyEzy Freeze-Dried Kiwi Fruit Powder - 100% Natural, Non-GMO, Vegan, Gluten-Free Superfruit</t>
  </si>
  <si>
    <t>FzyEzy Freeze-Dried Masala Kadhi Khichdi</t>
  </si>
  <si>
    <t>FzyEzy Freeze-Dried Palak Paneer</t>
  </si>
  <si>
    <t>FzyEzy Freeze-Dried Paneer Bhurji</t>
  </si>
  <si>
    <t>FzyEzy Freeze-Dried Paneer Gotala</t>
  </si>
  <si>
    <t>FzyEzy Freeze-Dried Spinach Powder</t>
  </si>
  <si>
    <t>FzyEzy Freeze-Dried Spinach Powder - 100% Natural, Non-GMO, Vegan, Gluten-Free Superfood</t>
  </si>
  <si>
    <t>FzyEzy Freeze-dried Strawberry Fruit Powder</t>
  </si>
  <si>
    <t>FzyEzy Freeze-Dried Veg. Makhanwala</t>
  </si>
  <si>
    <t>FzyEzy Healthy Dried Fruits Candy/Chips/Slices</t>
  </si>
  <si>
    <t>FzyEzy Healthy Natural Premium Freeze Dried Mango Fruit for Kids and Adults</t>
  </si>
  <si>
    <t>FzyEzy Healthy Natural Premium Freeze Dried Pineapple Fruit Powder</t>
  </si>
  <si>
    <t>FzyEzy Healthy Natural Premium Freeze Dried Pomegranate for Kids and Adults</t>
  </si>
  <si>
    <t>FzyEzy Healthy Natural Premium Freeze Dried Strawberry Fruit Powder for Kids and Adults</t>
  </si>
  <si>
    <t>FzyEzy Healthy Natural Premium Freeze Dried White Guava Fruit Powder</t>
  </si>
  <si>
    <t>FzyEzy Healthy Premium Freeze Dried Banana Fruit Powder</t>
  </si>
  <si>
    <t>FzyEzy Healthy Premium Freeze-dried Banana Fruit Powder</t>
  </si>
  <si>
    <t>FzyEzy Healthy Premium Freeze-dried Beet Vegetable Powder</t>
  </si>
  <si>
    <t>FzyEzy Healthy Premium Freeze-Dried Jackfruit Fruit Slices</t>
  </si>
  <si>
    <t>FzyEzy Healthy Premium Freeze-Dried Kiwi Fruit Slices</t>
  </si>
  <si>
    <t>FZYEZY Natural Freeze Dried Apple Powder for Kids and Adults</t>
  </si>
  <si>
    <t>FZYEZY Natural Freeze Dried Banana Powder for Kids and Adults</t>
  </si>
  <si>
    <t>FZYEZY Natural Freeze Dried Black Jamun Chunks for Kids and Adults</t>
  </si>
  <si>
    <t>FZYEZY Natural Freeze Dried Black Jamun for Kids and Adults</t>
  </si>
  <si>
    <t>FZYEZY Natural Freeze Dried Chikoo Fruit for Kids and Adults</t>
  </si>
  <si>
    <t>FZYEZY Natural Freeze Dried Chikoo Fruit Powder for Kids and Adults</t>
  </si>
  <si>
    <t>FZYEZY Natural Freeze Dried Mango Powder for Kids and Adults</t>
  </si>
  <si>
    <t>FZYEZY Natural Freeze Dried Pineapple Slices for Kids and Adults</t>
  </si>
  <si>
    <t>FzyEzy Natural Freeze Dried Pink Guava Powder for Kids and Adults</t>
  </si>
  <si>
    <t>FzyEzy Premium Moringa Vegetable Powder</t>
  </si>
  <si>
    <t>FZYEZY Pure &amp; Natural Premium Mango Fruit Powder for Cooking, Baking, Smoothies</t>
  </si>
  <si>
    <t>Hamps Heamwalt - Whey Protein, Vitamins, Minerals &amp; DHA Powder</t>
  </si>
  <si>
    <t>Oxynxt Freeze-dried Beet Powder Sachets-10 Count</t>
  </si>
  <si>
    <t>Oxynxt Freeze-dried Daily Green Powder Sachets - 10 Count</t>
  </si>
  <si>
    <t>Oxynxt Freeze-dried Prickly Pear Powder Sachets - 10 Count</t>
  </si>
  <si>
    <t>Grand Total</t>
  </si>
  <si>
    <t>Average of Sum of Net_Price</t>
  </si>
  <si>
    <t>Average of Sum of absolute-quantity-gms</t>
  </si>
  <si>
    <t>Count of cluster</t>
  </si>
  <si>
    <t>clusters</t>
  </si>
  <si>
    <t>effective_price_100g</t>
  </si>
  <si>
    <t>Cluster</t>
  </si>
  <si>
    <t>Count of Cluster</t>
  </si>
  <si>
    <t>Average of Price</t>
  </si>
  <si>
    <t>Average of Quantity ( Grams)</t>
  </si>
  <si>
    <t>Effective_price_100g</t>
  </si>
  <si>
    <t>Cluster_amazon_data</t>
  </si>
  <si>
    <t xml:space="preserve">cluster_q_commerce_extracted_data </t>
  </si>
  <si>
    <t xml:space="preserve">Average order value </t>
  </si>
  <si>
    <t>Projected_customer_ratings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</si>
</sst>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2"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wik Singh" refreshedDate="46163.779669212963" createdVersion="8" refreshedVersion="8" minRefreshableVersion="3" recordCount="48" xr:uid="{012D29C8-8EAA-4F16-B265-B8FF4541F03D}">
  <cacheSource type="worksheet">
    <worksheetSource ref="A1:E49" sheet="Sheet1"/>
  </cacheSource>
  <cacheFields count="5">
    <cacheField name="product-name" numFmtId="0">
      <sharedItems/>
    </cacheField>
    <cacheField name="Pareto % Products" numFmtId="9">
      <sharedItems containsSemiMixedTypes="0" containsString="0" containsNumber="1" minValue="2.81E-2" maxValue="0.79969999999999997"/>
    </cacheField>
    <cacheField name="Sum of absolute-quantity-gms" numFmtId="0">
      <sharedItems containsSemiMixedTypes="0" containsString="0" containsNumber="1" containsInteger="1" minValue="140" maxValue="9800"/>
    </cacheField>
    <cacheField name="Sum of Net_Price" numFmtId="0">
      <sharedItems containsSemiMixedTypes="0" containsString="0" containsNumber="1" containsInteger="1" minValue="1000" maxValue="7200"/>
    </cacheField>
    <cacheField name="cluster" numFmtId="0">
      <sharedItems containsSemiMixedTypes="0" containsString="0" containsNumber="1" containsInteger="1" minValue="0" maxValue="9" count="10">
        <n v="6"/>
        <n v="4"/>
        <n v="0"/>
        <n v="7"/>
        <n v="2"/>
        <n v="8"/>
        <n v="1"/>
        <n v="5"/>
        <n v="9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FZYEZY Freeze Dried Apple Slices for Kids and Adults"/>
    <n v="0.3962"/>
    <n v="140"/>
    <n v="1000"/>
    <x v="0"/>
  </r>
  <r>
    <s v="FZYEZY Freeze Dried Black Jamun Fruit for Kids and Adults"/>
    <n v="0.1293"/>
    <n v="1740"/>
    <n v="6120"/>
    <x v="1"/>
  </r>
  <r>
    <s v="FZYEZY Freeze Dried Custard Apple Fruit Powder for Kids and Adults"/>
    <n v="0.68459999999999999"/>
    <n v="600"/>
    <n v="2320"/>
    <x v="2"/>
  </r>
  <r>
    <s v="FzyEzy Freeze Dried Fruit Powder for Gourmet"/>
    <n v="0.75109999999999999"/>
    <n v="300"/>
    <n v="2874"/>
    <x v="3"/>
  </r>
  <r>
    <s v="FzyEzy Freeze Dried Gajar Ka Halwa"/>
    <n v="0.79090000000000005"/>
    <n v="600"/>
    <n v="1250"/>
    <x v="0"/>
  </r>
  <r>
    <s v="FzyEzy Freeze Dried Ginger Vegetable Powder for Kids and Adults"/>
    <n v="0.77129999999999999"/>
    <n v="850"/>
    <n v="2550"/>
    <x v="2"/>
  </r>
  <r>
    <s v="FZYEZY Freeze Dried Mango Fruit Powder for Kids and Adults"/>
    <n v="0.34239999999999998"/>
    <n v="1750"/>
    <n v="4284"/>
    <x v="4"/>
  </r>
  <r>
    <s v="FZYEZY Freeze Dried Pink Guava Powder for Kids and Adults"/>
    <n v="0.59050000000000002"/>
    <n v="950"/>
    <n v="3188"/>
    <x v="3"/>
  </r>
  <r>
    <s v="FzyEzy Freeze-Dried Apple Powder - 100% Natural, Non-GMO, Vegan, Gluten-Free Fruit Powder"/>
    <n v="0.49769999999999998"/>
    <n v="900"/>
    <n v="4171"/>
    <x v="5"/>
  </r>
  <r>
    <s v="FzyEzy Freeze-Dried Celery Powder - 100% Natural, Non-GMO, Vegan, Gluten-Free Superfood"/>
    <n v="0.24149999999999999"/>
    <n v="1362"/>
    <n v="6150"/>
    <x v="1"/>
  </r>
  <r>
    <s v="FzyEzy Freeze-Dried Jain Kadhi Khichdi"/>
    <n v="0.70820000000000005"/>
    <n v="672"/>
    <n v="2100"/>
    <x v="2"/>
  </r>
  <r>
    <s v="FzyEzy Freeze-Dried Jain Paneer Bhurji"/>
    <n v="0.51400000000000001"/>
    <n v="770"/>
    <n v="2200"/>
    <x v="2"/>
  </r>
  <r>
    <s v="FzyEzy Freeze-Dried Jain Paneer Butter Masala"/>
    <n v="0.3785"/>
    <n v="750"/>
    <n v="2100"/>
    <x v="2"/>
  </r>
  <r>
    <s v="FzyEzy Freeze-Dried Kiwi Fruit Powder - 100% Natural, Non-GMO, Vegan, Gluten-Free Superfruit"/>
    <n v="0.71940000000000004"/>
    <n v="454"/>
    <n v="3157"/>
    <x v="3"/>
  </r>
  <r>
    <s v="FzyEzy Freeze-Dried Masala Kadhi Khichdi"/>
    <n v="0.1754"/>
    <n v="720"/>
    <n v="2250"/>
    <x v="2"/>
  </r>
  <r>
    <s v="FzyEzy Freeze-Dried Palak Paneer"/>
    <n v="0.65959999999999996"/>
    <n v="350"/>
    <n v="1400"/>
    <x v="0"/>
  </r>
  <r>
    <s v="FzyEzy Freeze-Dried Paneer Bhurji"/>
    <n v="0.67230000000000001"/>
    <n v="420"/>
    <n v="1200"/>
    <x v="0"/>
  </r>
  <r>
    <s v="FzyEzy Freeze-Dried Paneer Gotala"/>
    <n v="5.45E-2"/>
    <n v="700"/>
    <n v="2200"/>
    <x v="2"/>
  </r>
  <r>
    <s v="FzyEzy Freeze-Dried Spinach Powder"/>
    <n v="0.7409"/>
    <n v="650"/>
    <n v="2306"/>
    <x v="2"/>
  </r>
  <r>
    <s v="FzyEzy Freeze-Dried Spinach Powder - 100% Natural, Non-GMO, Vegan, Gluten-Free Superfood"/>
    <n v="0.78120000000000001"/>
    <n v="908"/>
    <n v="2800"/>
    <x v="3"/>
  </r>
  <r>
    <s v="FzyEzy Freeze-dried Strawberry Fruit Powder"/>
    <n v="0.57579999999999998"/>
    <n v="900"/>
    <n v="4194"/>
    <x v="5"/>
  </r>
  <r>
    <s v="FzyEzy Freeze-Dried Veg. Makhanwala"/>
    <n v="0.48139999999999999"/>
    <n v="600"/>
    <n v="1800"/>
    <x v="2"/>
  </r>
  <r>
    <s v="FzyEzy Healthy Dried Fruits Candy/Chips/Slices"/>
    <n v="0.44790000000000002"/>
    <n v="792"/>
    <n v="4123"/>
    <x v="5"/>
  </r>
  <r>
    <s v="FzyEzy Healthy Natural Premium Freeze Dried Mango Fruit for Kids and Adults"/>
    <n v="0.30420000000000003"/>
    <n v="3600"/>
    <n v="5592"/>
    <x v="6"/>
  </r>
  <r>
    <s v="FzyEzy Healthy Natural Premium Freeze Dried Pineapple Fruit Powder"/>
    <n v="0.63239999999999996"/>
    <n v="908"/>
    <n v="3902"/>
    <x v="5"/>
  </r>
  <r>
    <s v="FzyEzy Healthy Natural Premium Freeze Dried Pomegranate for Kids and Adults"/>
    <n v="0.08"/>
    <n v="7500"/>
    <n v="7200"/>
    <x v="7"/>
  </r>
  <r>
    <s v="FzyEzy Healthy Natural Premium Freeze Dried Strawberry Fruit Powder for Kids and Adults"/>
    <n v="0.73029999999999995"/>
    <n v="600"/>
    <n v="2640"/>
    <x v="3"/>
  </r>
  <r>
    <s v="FzyEzy Healthy Natural Premium Freeze Dried White Guava Fruit Powder"/>
    <n v="0.69650000000000001"/>
    <n v="550"/>
    <n v="2814"/>
    <x v="3"/>
  </r>
  <r>
    <s v="FzyEzy Healthy Premium Freeze Dried Banana Fruit Powder"/>
    <n v="0.2198"/>
    <n v="2270"/>
    <n v="6244"/>
    <x v="1"/>
  </r>
  <r>
    <s v="FzyEzy Healthy Premium Freeze-dried Banana Fruit Powder"/>
    <n v="0.79969999999999997"/>
    <n v="750"/>
    <n v="2463"/>
    <x v="2"/>
  </r>
  <r>
    <s v="FzyEzy Healthy Premium Freeze-dried Beet Vegetable Powder"/>
    <n v="0.15260000000000001"/>
    <n v="1150"/>
    <n v="4089"/>
    <x v="5"/>
  </r>
  <r>
    <s v="FzyEzy Healthy Premium Freeze-Dried Jackfruit Fruit Slices"/>
    <n v="0.32369999999999999"/>
    <n v="520"/>
    <n v="3109"/>
    <x v="3"/>
  </r>
  <r>
    <s v="FzyEzy Healthy Premium Freeze-Dried Kiwi Fruit Slices"/>
    <n v="0.52969999999999995"/>
    <n v="340"/>
    <n v="2028"/>
    <x v="2"/>
  </r>
  <r>
    <s v="FZYEZY Natural Freeze Dried Apple Powder for Kids and Adults"/>
    <n v="0.76119999999999999"/>
    <n v="550"/>
    <n v="2420"/>
    <x v="2"/>
  </r>
  <r>
    <s v="FZYEZY Natural Freeze Dried Banana Powder for Kids and Adults"/>
    <n v="2.81E-2"/>
    <n v="3250"/>
    <n v="6705"/>
    <x v="6"/>
  </r>
  <r>
    <s v="FZYEZY Natural Freeze Dried Black Jamun Chunks for Kids and Adults"/>
    <n v="0.1053"/>
    <n v="1300"/>
    <n v="4299"/>
    <x v="5"/>
  </r>
  <r>
    <s v="FZYEZY Natural Freeze Dried Black Jamun for Kids and Adults"/>
    <n v="0.54530000000000001"/>
    <n v="1200"/>
    <n v="3060"/>
    <x v="3"/>
  </r>
  <r>
    <s v="FZYEZY Natural Freeze Dried Chikoo Fruit for Kids and Adults"/>
    <n v="0.1976"/>
    <n v="1660"/>
    <n v="4670"/>
    <x v="4"/>
  </r>
  <r>
    <s v="FZYEZY Natural Freeze Dried Chikoo Fruit Powder for Kids and Adults"/>
    <n v="0.28439999999999999"/>
    <n v="1500"/>
    <n v="4500"/>
    <x v="4"/>
  </r>
  <r>
    <s v="FZYEZY Natural Freeze Dried Mango Powder for Kids and Adults"/>
    <n v="0.43070000000000003"/>
    <n v="800"/>
    <n v="4850"/>
    <x v="5"/>
  </r>
  <r>
    <s v="FZYEZY Natural Freeze Dried Pineapple Slices for Kids and Adults"/>
    <n v="0.36059999999999998"/>
    <n v="680"/>
    <n v="2740"/>
    <x v="3"/>
  </r>
  <r>
    <s v="FzyEzy Natural Freeze Dried Pink Guava Powder for Kids and Adults"/>
    <n v="0.61850000000000005"/>
    <n v="800"/>
    <n v="3489"/>
    <x v="3"/>
  </r>
  <r>
    <s v="FzyEzy Premium Moringa Vegetable Powder"/>
    <n v="0.64610000000000001"/>
    <n v="3859"/>
    <n v="3888"/>
    <x v="8"/>
  </r>
  <r>
    <s v="FZYEZY Pure &amp; Natural Premium Mango Fruit Powder for Cooking, Baking, Smoothies"/>
    <n v="0.60460000000000003"/>
    <n v="400"/>
    <n v="1998"/>
    <x v="2"/>
  </r>
  <r>
    <s v="Hamps Heamwalt - Whey Protein, Vitamins, Minerals &amp; DHA Powder"/>
    <n v="0.26319999999999999"/>
    <n v="9800"/>
    <n v="5367"/>
    <x v="9"/>
  </r>
  <r>
    <s v="Oxynxt Freeze-dried Beet Powder Sachets-10 Count"/>
    <n v="0.41360000000000002"/>
    <n v="560"/>
    <n v="1032"/>
    <x v="0"/>
  </r>
  <r>
    <s v="Oxynxt Freeze-dried Daily Green Powder Sachets - 10 Count"/>
    <n v="0.46479999999999999"/>
    <n v="400"/>
    <n v="2392"/>
    <x v="2"/>
  </r>
  <r>
    <s v="Oxynxt Freeze-dried Prickly Pear Powder Sachets - 10 Count"/>
    <n v="0.56089999999999995"/>
    <n v="770"/>
    <n v="213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366CC-8D9B-4C93-AFD1-1861E9415A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usters">
  <location ref="A3:D14" firstHeaderRow="0" firstDataRow="1" firstDataCol="1"/>
  <pivotFields count="5">
    <pivotField showAll="0"/>
    <pivotField numFmtId="9" showAll="0"/>
    <pivotField dataField="1" showAll="0"/>
    <pivotField dataField="1" showAll="0"/>
    <pivotField axis="axisRow" dataField="1" showAll="0">
      <items count="11">
        <item x="2"/>
        <item x="6"/>
        <item x="4"/>
        <item x="9"/>
        <item x="1"/>
        <item x="7"/>
        <item x="0"/>
        <item x="3"/>
        <item x="5"/>
        <item x="8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luster" fld="4" subtotal="count" baseField="4" baseItem="0"/>
    <dataField name="Average of Sum of Net_Price" fld="3" subtotal="average" baseField="4" baseItem="0" numFmtId="2"/>
    <dataField name="Average of Sum of absolute-quantity-gms" fld="2" subtotal="average" baseField="4" baseItem="0" numFmtId="2"/>
  </dataFields>
  <formats count="2"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658C-F10E-4028-988D-B636AA2CEED2}">
  <dimension ref="A3:L27"/>
  <sheetViews>
    <sheetView topLeftCell="C7" workbookViewId="0">
      <selection activeCell="D28" sqref="D28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5.5546875" bestFit="1" customWidth="1"/>
    <col min="4" max="4" width="36.77734375" bestFit="1" customWidth="1"/>
    <col min="5" max="5" width="18.33203125" bestFit="1" customWidth="1"/>
    <col min="8" max="8" width="6.6640625" bestFit="1" customWidth="1"/>
    <col min="9" max="10" width="14.33203125" bestFit="1" customWidth="1"/>
    <col min="11" max="11" width="24.77734375" bestFit="1" customWidth="1"/>
    <col min="12" max="12" width="18.33203125" bestFit="1" customWidth="1"/>
  </cols>
  <sheetData>
    <row r="3" spans="1:12" x14ac:dyDescent="0.3">
      <c r="A3" s="4" t="s">
        <v>57</v>
      </c>
      <c r="B3" t="s">
        <v>56</v>
      </c>
      <c r="C3" s="6" t="s">
        <v>54</v>
      </c>
      <c r="D3" s="6" t="s">
        <v>55</v>
      </c>
    </row>
    <row r="4" spans="1:12" x14ac:dyDescent="0.3">
      <c r="A4" s="5">
        <v>0</v>
      </c>
      <c r="B4">
        <v>15</v>
      </c>
      <c r="C4" s="6">
        <v>2217.2666666666669</v>
      </c>
      <c r="D4" s="6">
        <v>634.79999999999995</v>
      </c>
    </row>
    <row r="5" spans="1:12" x14ac:dyDescent="0.3">
      <c r="A5" s="5">
        <v>1</v>
      </c>
      <c r="B5">
        <v>2</v>
      </c>
      <c r="C5" s="6">
        <v>6148.5</v>
      </c>
      <c r="D5" s="6">
        <v>3425</v>
      </c>
    </row>
    <row r="6" spans="1:12" x14ac:dyDescent="0.3">
      <c r="A6" s="5">
        <v>2</v>
      </c>
      <c r="B6">
        <v>3</v>
      </c>
      <c r="C6" s="6">
        <v>4484.666666666667</v>
      </c>
      <c r="D6" s="6">
        <v>1636.6666666666667</v>
      </c>
    </row>
    <row r="7" spans="1:12" x14ac:dyDescent="0.3">
      <c r="A7" s="5">
        <v>3</v>
      </c>
      <c r="B7">
        <v>1</v>
      </c>
      <c r="C7" s="6">
        <v>5367</v>
      </c>
      <c r="D7" s="6">
        <v>9800</v>
      </c>
    </row>
    <row r="8" spans="1:12" x14ac:dyDescent="0.3">
      <c r="A8" s="5">
        <v>4</v>
      </c>
      <c r="B8">
        <v>3</v>
      </c>
      <c r="C8" s="6">
        <v>6171.333333333333</v>
      </c>
      <c r="D8" s="6">
        <v>1790.6666666666667</v>
      </c>
    </row>
    <row r="9" spans="1:12" x14ac:dyDescent="0.3">
      <c r="A9" s="5">
        <v>5</v>
      </c>
      <c r="B9">
        <v>1</v>
      </c>
      <c r="C9" s="6">
        <v>7200</v>
      </c>
      <c r="D9" s="6">
        <v>7500</v>
      </c>
    </row>
    <row r="10" spans="1:12" x14ac:dyDescent="0.3">
      <c r="A10" s="5">
        <v>6</v>
      </c>
      <c r="B10">
        <v>5</v>
      </c>
      <c r="C10" s="6">
        <v>1176.4000000000001</v>
      </c>
      <c r="D10" s="6">
        <v>414</v>
      </c>
    </row>
    <row r="11" spans="1:12" x14ac:dyDescent="0.3">
      <c r="A11" s="5">
        <v>7</v>
      </c>
      <c r="B11">
        <v>10</v>
      </c>
      <c r="C11" s="6">
        <v>2987.1</v>
      </c>
      <c r="D11" s="6">
        <v>696.2</v>
      </c>
    </row>
    <row r="12" spans="1:12" x14ac:dyDescent="0.3">
      <c r="A12" s="5">
        <v>8</v>
      </c>
      <c r="B12">
        <v>7</v>
      </c>
      <c r="C12" s="6">
        <v>4232.5714285714284</v>
      </c>
      <c r="D12" s="6">
        <v>964.28571428571433</v>
      </c>
    </row>
    <row r="13" spans="1:12" x14ac:dyDescent="0.3">
      <c r="A13" s="5">
        <v>9</v>
      </c>
      <c r="B13">
        <v>1</v>
      </c>
      <c r="C13" s="6">
        <v>3888</v>
      </c>
      <c r="D13" s="6">
        <v>3859</v>
      </c>
    </row>
    <row r="14" spans="1:12" x14ac:dyDescent="0.3">
      <c r="A14" s="5" t="s">
        <v>53</v>
      </c>
      <c r="B14">
        <v>48</v>
      </c>
      <c r="C14" s="6">
        <v>3320</v>
      </c>
      <c r="D14" s="6">
        <v>1324.8958333333333</v>
      </c>
    </row>
    <row r="16" spans="1:12" x14ac:dyDescent="0.3">
      <c r="A16" s="9" t="s">
        <v>64</v>
      </c>
      <c r="B16" s="9"/>
      <c r="C16" s="9"/>
      <c r="D16" s="9"/>
      <c r="E16" s="9"/>
      <c r="H16" s="9" t="s">
        <v>65</v>
      </c>
      <c r="I16" s="9"/>
      <c r="J16" s="9"/>
      <c r="K16" s="9"/>
      <c r="L16" s="9"/>
    </row>
    <row r="17" spans="1:12" x14ac:dyDescent="0.3">
      <c r="A17" t="s">
        <v>57</v>
      </c>
      <c r="B17" t="s">
        <v>56</v>
      </c>
      <c r="C17" s="6" t="s">
        <v>54</v>
      </c>
      <c r="D17" s="6" t="s">
        <v>55</v>
      </c>
      <c r="E17" t="s">
        <v>58</v>
      </c>
      <c r="H17" t="s">
        <v>59</v>
      </c>
      <c r="I17" s="6" t="s">
        <v>60</v>
      </c>
      <c r="J17" s="6" t="s">
        <v>61</v>
      </c>
      <c r="K17" s="6" t="s">
        <v>62</v>
      </c>
      <c r="L17" s="6" t="s">
        <v>63</v>
      </c>
    </row>
    <row r="18" spans="1:12" x14ac:dyDescent="0.3">
      <c r="A18">
        <v>3</v>
      </c>
      <c r="B18">
        <v>1</v>
      </c>
      <c r="C18" s="6">
        <v>5367</v>
      </c>
      <c r="D18" s="6">
        <v>9800</v>
      </c>
      <c r="E18" s="6">
        <f t="shared" ref="E18:E27" si="0">(C18/D18)*100</f>
        <v>54.765306122448976</v>
      </c>
      <c r="H18">
        <v>0</v>
      </c>
      <c r="I18">
        <v>20</v>
      </c>
      <c r="J18" s="6">
        <v>320.95</v>
      </c>
      <c r="K18" s="6">
        <v>505.5</v>
      </c>
      <c r="L18" s="6">
        <f t="shared" ref="L18:L27" si="1">(J18/K18)*100</f>
        <v>63.491592482690407</v>
      </c>
    </row>
    <row r="19" spans="1:12" x14ac:dyDescent="0.3">
      <c r="A19">
        <v>5</v>
      </c>
      <c r="B19">
        <v>1</v>
      </c>
      <c r="C19" s="6">
        <v>7200</v>
      </c>
      <c r="D19" s="6">
        <v>7500</v>
      </c>
      <c r="E19" s="6">
        <f t="shared" si="0"/>
        <v>96</v>
      </c>
      <c r="H19">
        <v>4</v>
      </c>
      <c r="I19">
        <v>26</v>
      </c>
      <c r="J19" s="6">
        <v>156.69230769230768</v>
      </c>
      <c r="K19" s="6">
        <v>213.46153846153845</v>
      </c>
      <c r="L19" s="6">
        <f t="shared" si="1"/>
        <v>73.405405405405403</v>
      </c>
    </row>
    <row r="20" spans="1:12" x14ac:dyDescent="0.3">
      <c r="A20">
        <v>9</v>
      </c>
      <c r="B20">
        <v>1</v>
      </c>
      <c r="C20" s="6">
        <v>3888</v>
      </c>
      <c r="D20" s="6">
        <v>3859</v>
      </c>
      <c r="E20" s="6">
        <f t="shared" si="0"/>
        <v>100.75149002332211</v>
      </c>
      <c r="H20">
        <v>8</v>
      </c>
      <c r="I20">
        <v>16</v>
      </c>
      <c r="J20" s="6">
        <v>685</v>
      </c>
      <c r="K20" s="6">
        <v>925.3125</v>
      </c>
      <c r="L20" s="6">
        <f t="shared" si="1"/>
        <v>74.029044241810197</v>
      </c>
    </row>
    <row r="21" spans="1:12" x14ac:dyDescent="0.3">
      <c r="A21">
        <v>1</v>
      </c>
      <c r="B21">
        <v>2</v>
      </c>
      <c r="C21" s="6">
        <v>6148.5</v>
      </c>
      <c r="D21" s="6">
        <v>3425</v>
      </c>
      <c r="E21" s="6">
        <f t="shared" si="0"/>
        <v>179.51824817518246</v>
      </c>
      <c r="H21">
        <v>3</v>
      </c>
      <c r="I21">
        <v>69</v>
      </c>
      <c r="J21" s="6">
        <v>290.15942028985506</v>
      </c>
      <c r="K21" s="6">
        <v>269.536231884058</v>
      </c>
      <c r="L21" s="6">
        <f t="shared" si="1"/>
        <v>107.65136036132917</v>
      </c>
    </row>
    <row r="22" spans="1:12" x14ac:dyDescent="0.3">
      <c r="A22">
        <v>2</v>
      </c>
      <c r="B22">
        <v>3</v>
      </c>
      <c r="C22" s="6">
        <v>4484.666666666667</v>
      </c>
      <c r="D22" s="6">
        <v>1636.6666666666667</v>
      </c>
      <c r="E22" s="6">
        <f t="shared" si="0"/>
        <v>274.01221995926682</v>
      </c>
      <c r="H22">
        <v>9</v>
      </c>
      <c r="I22">
        <v>43</v>
      </c>
      <c r="J22" s="6">
        <v>105.16279069767442</v>
      </c>
      <c r="K22" s="6">
        <v>84.616279069767444</v>
      </c>
      <c r="L22" s="6">
        <f t="shared" si="1"/>
        <v>124.28198433420366</v>
      </c>
    </row>
    <row r="23" spans="1:12" x14ac:dyDescent="0.3">
      <c r="A23">
        <v>6</v>
      </c>
      <c r="B23">
        <v>5</v>
      </c>
      <c r="C23" s="6">
        <v>1176.4000000000001</v>
      </c>
      <c r="D23" s="6">
        <v>414</v>
      </c>
      <c r="E23" s="6">
        <f t="shared" si="0"/>
        <v>284.15458937198071</v>
      </c>
      <c r="H23">
        <v>6</v>
      </c>
      <c r="I23">
        <v>108</v>
      </c>
      <c r="J23" s="6">
        <v>175.22222222222223</v>
      </c>
      <c r="K23" s="6">
        <v>104.25</v>
      </c>
      <c r="L23" s="6">
        <f t="shared" si="1"/>
        <v>168.07887023714363</v>
      </c>
    </row>
    <row r="24" spans="1:12" x14ac:dyDescent="0.3">
      <c r="A24">
        <v>4</v>
      </c>
      <c r="B24">
        <v>3</v>
      </c>
      <c r="C24" s="6">
        <v>6171.333333333333</v>
      </c>
      <c r="D24" s="6">
        <v>1790.6666666666667</v>
      </c>
      <c r="E24" s="6">
        <f t="shared" si="0"/>
        <v>344.63886820550999</v>
      </c>
      <c r="H24">
        <v>1</v>
      </c>
      <c r="I24">
        <v>50</v>
      </c>
      <c r="J24" s="6">
        <v>480.2</v>
      </c>
      <c r="K24" s="6">
        <v>235.64</v>
      </c>
      <c r="L24" s="6">
        <f t="shared" si="1"/>
        <v>203.78543540994741</v>
      </c>
    </row>
    <row r="25" spans="1:12" x14ac:dyDescent="0.3">
      <c r="A25">
        <v>0</v>
      </c>
      <c r="B25">
        <v>15</v>
      </c>
      <c r="C25" s="6">
        <v>2217.2666666666669</v>
      </c>
      <c r="D25" s="6">
        <v>634.79999999999995</v>
      </c>
      <c r="E25" s="6">
        <f t="shared" si="0"/>
        <v>349.28586431421979</v>
      </c>
      <c r="H25">
        <v>7</v>
      </c>
      <c r="I25">
        <v>100</v>
      </c>
      <c r="J25" s="6">
        <v>145.12</v>
      </c>
      <c r="K25" s="6">
        <v>68.89</v>
      </c>
      <c r="L25" s="6">
        <f t="shared" si="1"/>
        <v>210.65466686021193</v>
      </c>
    </row>
    <row r="26" spans="1:12" x14ac:dyDescent="0.3">
      <c r="A26">
        <v>7</v>
      </c>
      <c r="B26">
        <v>10</v>
      </c>
      <c r="C26" s="6">
        <v>2987.1</v>
      </c>
      <c r="D26" s="6">
        <v>696.2</v>
      </c>
      <c r="E26" s="6">
        <f t="shared" si="0"/>
        <v>429.05774202815275</v>
      </c>
      <c r="H26">
        <v>5</v>
      </c>
      <c r="I26">
        <v>13</v>
      </c>
      <c r="J26" s="6">
        <v>3488.7692307692309</v>
      </c>
      <c r="K26" s="6">
        <v>961.92307692307691</v>
      </c>
      <c r="L26" s="6">
        <f t="shared" si="1"/>
        <v>362.68692522990807</v>
      </c>
    </row>
    <row r="27" spans="1:12" x14ac:dyDescent="0.3">
      <c r="A27">
        <v>8</v>
      </c>
      <c r="B27">
        <v>7</v>
      </c>
      <c r="C27" s="6">
        <v>4232.5714285714284</v>
      </c>
      <c r="D27" s="6">
        <v>964.28571428571433</v>
      </c>
      <c r="E27" s="6">
        <f t="shared" si="0"/>
        <v>438.93333333333328</v>
      </c>
      <c r="H27">
        <v>2</v>
      </c>
      <c r="I27">
        <v>3</v>
      </c>
      <c r="J27" s="6">
        <v>7576</v>
      </c>
      <c r="K27" s="6">
        <v>2000</v>
      </c>
      <c r="L27" s="6">
        <f t="shared" si="1"/>
        <v>378.79999999999995</v>
      </c>
    </row>
  </sheetData>
  <sortState xmlns:xlrd2="http://schemas.microsoft.com/office/spreadsheetml/2017/richdata2" ref="H18:L27">
    <sortCondition ref="L18:L27"/>
  </sortState>
  <mergeCells count="2">
    <mergeCell ref="A16:E16"/>
    <mergeCell ref="H16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9"/>
  <sheetViews>
    <sheetView workbookViewId="0">
      <selection sqref="A1:G49"/>
    </sheetView>
  </sheetViews>
  <sheetFormatPr defaultRowHeight="14.4" x14ac:dyDescent="0.3"/>
  <cols>
    <col min="1" max="1" width="80" bestFit="1" customWidth="1"/>
    <col min="2" max="2" width="16.44140625" style="3" bestFit="1" customWidth="1"/>
    <col min="3" max="3" width="27" bestFit="1" customWidth="1"/>
    <col min="4" max="4" width="15.6640625" bestFit="1" customWidth="1"/>
    <col min="5" max="5" width="11" bestFit="1" customWidth="1"/>
    <col min="6" max="6" width="18.5546875" bestFit="1" customWidth="1"/>
    <col min="7" max="7" width="2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7" t="s">
        <v>66</v>
      </c>
      <c r="G1" s="1" t="s">
        <v>67</v>
      </c>
    </row>
    <row r="2" spans="1:7" hidden="1" x14ac:dyDescent="0.3">
      <c r="A2" t="s">
        <v>39</v>
      </c>
      <c r="B2" s="3">
        <v>2.81E-2</v>
      </c>
      <c r="C2">
        <v>3250</v>
      </c>
      <c r="D2">
        <v>6705</v>
      </c>
      <c r="E2">
        <v>1</v>
      </c>
      <c r="F2" s="6">
        <v>330.20833333333297</v>
      </c>
      <c r="G2">
        <v>516</v>
      </c>
    </row>
    <row r="3" spans="1:7" x14ac:dyDescent="0.3">
      <c r="A3" t="s">
        <v>22</v>
      </c>
      <c r="B3" s="3">
        <v>5.45E-2</v>
      </c>
      <c r="C3">
        <v>700</v>
      </c>
      <c r="D3">
        <v>2200</v>
      </c>
      <c r="E3">
        <v>0</v>
      </c>
      <c r="F3" s="6">
        <v>1870</v>
      </c>
      <c r="G3">
        <v>650</v>
      </c>
    </row>
    <row r="4" spans="1:7" hidden="1" x14ac:dyDescent="0.3">
      <c r="A4" t="s">
        <v>30</v>
      </c>
      <c r="B4" s="3">
        <v>0.08</v>
      </c>
      <c r="C4">
        <v>7500</v>
      </c>
      <c r="D4">
        <v>7200</v>
      </c>
      <c r="E4">
        <v>5</v>
      </c>
      <c r="F4" s="6">
        <v>1200</v>
      </c>
      <c r="G4">
        <v>516</v>
      </c>
    </row>
    <row r="5" spans="1:7" hidden="1" x14ac:dyDescent="0.3">
      <c r="A5" t="s">
        <v>40</v>
      </c>
      <c r="B5" s="3">
        <v>0.1053</v>
      </c>
      <c r="C5">
        <v>1300</v>
      </c>
      <c r="D5">
        <v>4299</v>
      </c>
      <c r="E5">
        <v>8</v>
      </c>
      <c r="F5" s="6">
        <v>1017</v>
      </c>
      <c r="G5">
        <v>516</v>
      </c>
    </row>
    <row r="6" spans="1:7" x14ac:dyDescent="0.3">
      <c r="A6" t="s">
        <v>6</v>
      </c>
      <c r="B6" s="3">
        <v>0.1293</v>
      </c>
      <c r="C6">
        <v>1740</v>
      </c>
      <c r="D6">
        <v>6120</v>
      </c>
      <c r="E6">
        <v>4</v>
      </c>
      <c r="F6" s="6">
        <v>1700</v>
      </c>
      <c r="G6">
        <v>516</v>
      </c>
    </row>
    <row r="7" spans="1:7" hidden="1" x14ac:dyDescent="0.3">
      <c r="A7" t="s">
        <v>35</v>
      </c>
      <c r="B7" s="3">
        <v>0.15260000000000001</v>
      </c>
      <c r="C7">
        <v>1150</v>
      </c>
      <c r="D7">
        <v>4089</v>
      </c>
      <c r="E7">
        <v>8</v>
      </c>
      <c r="F7" s="6">
        <v>346</v>
      </c>
      <c r="G7">
        <v>516</v>
      </c>
    </row>
    <row r="8" spans="1:7" x14ac:dyDescent="0.3">
      <c r="A8" t="s">
        <v>19</v>
      </c>
      <c r="B8" s="3">
        <v>0.1754</v>
      </c>
      <c r="C8">
        <v>720</v>
      </c>
      <c r="D8">
        <v>2250</v>
      </c>
      <c r="E8">
        <v>0</v>
      </c>
      <c r="F8" s="6">
        <v>921.42857142857099</v>
      </c>
      <c r="G8">
        <v>650</v>
      </c>
    </row>
    <row r="9" spans="1:7" hidden="1" x14ac:dyDescent="0.3">
      <c r="A9" t="s">
        <v>42</v>
      </c>
      <c r="B9" s="3">
        <v>0.1976</v>
      </c>
      <c r="C9">
        <v>1660</v>
      </c>
      <c r="D9">
        <v>4670</v>
      </c>
      <c r="E9">
        <v>2</v>
      </c>
      <c r="F9" s="6">
        <v>330</v>
      </c>
      <c r="G9">
        <v>516</v>
      </c>
    </row>
    <row r="10" spans="1:7" x14ac:dyDescent="0.3">
      <c r="A10" t="s">
        <v>33</v>
      </c>
      <c r="B10" s="3">
        <v>0.2198</v>
      </c>
      <c r="C10">
        <v>2270</v>
      </c>
      <c r="D10">
        <v>6244</v>
      </c>
      <c r="E10">
        <v>4</v>
      </c>
      <c r="F10" s="6">
        <v>693.77777777777703</v>
      </c>
      <c r="G10">
        <v>516</v>
      </c>
    </row>
    <row r="11" spans="1:7" x14ac:dyDescent="0.3">
      <c r="A11" t="s">
        <v>14</v>
      </c>
      <c r="B11" s="3">
        <v>0.24149999999999999</v>
      </c>
      <c r="C11">
        <v>1362</v>
      </c>
      <c r="D11">
        <v>6150</v>
      </c>
      <c r="E11">
        <v>4</v>
      </c>
      <c r="F11" s="6">
        <v>1025</v>
      </c>
      <c r="G11">
        <v>516</v>
      </c>
    </row>
    <row r="12" spans="1:7" hidden="1" x14ac:dyDescent="0.3">
      <c r="A12" t="s">
        <v>49</v>
      </c>
      <c r="B12" s="3">
        <v>0.26319999999999999</v>
      </c>
      <c r="C12">
        <v>9800</v>
      </c>
      <c r="D12">
        <v>5367</v>
      </c>
      <c r="E12">
        <v>3</v>
      </c>
      <c r="F12" s="6">
        <v>265.86956521739103</v>
      </c>
      <c r="G12">
        <v>516</v>
      </c>
    </row>
    <row r="13" spans="1:7" hidden="1" x14ac:dyDescent="0.3">
      <c r="A13" t="s">
        <v>43</v>
      </c>
      <c r="B13" s="3">
        <v>0.28439999999999999</v>
      </c>
      <c r="C13">
        <v>1500</v>
      </c>
      <c r="D13">
        <v>4500</v>
      </c>
      <c r="E13">
        <v>2</v>
      </c>
      <c r="F13" s="6">
        <v>1200</v>
      </c>
      <c r="G13">
        <v>516</v>
      </c>
    </row>
    <row r="14" spans="1:7" hidden="1" x14ac:dyDescent="0.3">
      <c r="A14" t="s">
        <v>28</v>
      </c>
      <c r="B14" s="3">
        <v>0.30420000000000003</v>
      </c>
      <c r="C14">
        <v>3600</v>
      </c>
      <c r="D14">
        <v>5592</v>
      </c>
      <c r="E14">
        <v>1</v>
      </c>
      <c r="F14" s="6">
        <v>699</v>
      </c>
      <c r="G14">
        <v>516</v>
      </c>
    </row>
    <row r="15" spans="1:7" hidden="1" x14ac:dyDescent="0.3">
      <c r="A15" t="s">
        <v>36</v>
      </c>
      <c r="B15" s="3">
        <v>0.32369999999999999</v>
      </c>
      <c r="C15">
        <v>520</v>
      </c>
      <c r="D15">
        <v>3109</v>
      </c>
      <c r="E15">
        <v>7</v>
      </c>
      <c r="F15" s="6">
        <v>275.45</v>
      </c>
      <c r="G15">
        <v>1057</v>
      </c>
    </row>
    <row r="16" spans="1:7" hidden="1" x14ac:dyDescent="0.3">
      <c r="A16" t="s">
        <v>11</v>
      </c>
      <c r="B16" s="3">
        <v>0.34239999999999998</v>
      </c>
      <c r="C16">
        <v>1750</v>
      </c>
      <c r="D16">
        <v>4284</v>
      </c>
      <c r="E16">
        <v>2</v>
      </c>
      <c r="F16" s="6">
        <v>660.5</v>
      </c>
      <c r="G16">
        <v>516</v>
      </c>
    </row>
    <row r="17" spans="1:7" hidden="1" x14ac:dyDescent="0.3">
      <c r="A17" t="s">
        <v>45</v>
      </c>
      <c r="B17" s="3">
        <v>0.36059999999999998</v>
      </c>
      <c r="C17">
        <v>680</v>
      </c>
      <c r="D17">
        <v>2740</v>
      </c>
      <c r="E17">
        <v>7</v>
      </c>
      <c r="F17" s="6">
        <v>1028</v>
      </c>
      <c r="G17">
        <v>1057</v>
      </c>
    </row>
    <row r="18" spans="1:7" x14ac:dyDescent="0.3">
      <c r="A18" t="s">
        <v>17</v>
      </c>
      <c r="B18" s="3">
        <v>0.3785</v>
      </c>
      <c r="C18">
        <v>750</v>
      </c>
      <c r="D18">
        <v>2100</v>
      </c>
      <c r="E18">
        <v>0</v>
      </c>
      <c r="F18" s="6">
        <v>840</v>
      </c>
      <c r="G18">
        <v>650</v>
      </c>
    </row>
    <row r="19" spans="1:7" hidden="1" x14ac:dyDescent="0.3">
      <c r="A19" t="s">
        <v>5</v>
      </c>
      <c r="B19" s="3">
        <v>0.3962</v>
      </c>
      <c r="C19">
        <v>140</v>
      </c>
      <c r="D19">
        <v>1000</v>
      </c>
      <c r="E19">
        <v>6</v>
      </c>
      <c r="F19" s="6">
        <v>5000</v>
      </c>
      <c r="G19">
        <v>884</v>
      </c>
    </row>
    <row r="20" spans="1:7" hidden="1" x14ac:dyDescent="0.3">
      <c r="A20" t="s">
        <v>50</v>
      </c>
      <c r="B20" s="3">
        <v>0.41360000000000002</v>
      </c>
      <c r="C20">
        <v>560</v>
      </c>
      <c r="D20">
        <v>1032</v>
      </c>
      <c r="E20">
        <v>6</v>
      </c>
      <c r="F20" s="6">
        <v>1634</v>
      </c>
      <c r="G20">
        <v>1057</v>
      </c>
    </row>
    <row r="21" spans="1:7" hidden="1" x14ac:dyDescent="0.3">
      <c r="A21" t="s">
        <v>44</v>
      </c>
      <c r="B21" s="3">
        <v>0.43070000000000003</v>
      </c>
      <c r="C21">
        <v>800</v>
      </c>
      <c r="D21">
        <v>4850</v>
      </c>
      <c r="E21">
        <v>8</v>
      </c>
      <c r="F21" s="6">
        <v>1212.5</v>
      </c>
      <c r="G21">
        <v>650</v>
      </c>
    </row>
    <row r="22" spans="1:7" hidden="1" x14ac:dyDescent="0.3">
      <c r="A22" t="s">
        <v>27</v>
      </c>
      <c r="B22" s="3">
        <v>0.44790000000000002</v>
      </c>
      <c r="C22">
        <v>792</v>
      </c>
      <c r="D22">
        <v>4123</v>
      </c>
      <c r="E22">
        <v>8</v>
      </c>
      <c r="F22" s="6">
        <v>134.527777777777</v>
      </c>
      <c r="G22">
        <v>650</v>
      </c>
    </row>
    <row r="23" spans="1:7" x14ac:dyDescent="0.3">
      <c r="A23" t="s">
        <v>51</v>
      </c>
      <c r="B23" s="3">
        <v>0.46479999999999999</v>
      </c>
      <c r="C23">
        <v>400</v>
      </c>
      <c r="D23">
        <v>2392</v>
      </c>
      <c r="E23">
        <v>0</v>
      </c>
      <c r="F23" s="6">
        <v>956.8</v>
      </c>
      <c r="G23">
        <v>3981</v>
      </c>
    </row>
    <row r="24" spans="1:7" x14ac:dyDescent="0.3">
      <c r="A24" t="s">
        <v>26</v>
      </c>
      <c r="B24" s="3">
        <v>0.48139999999999999</v>
      </c>
      <c r="C24">
        <v>600</v>
      </c>
      <c r="D24">
        <v>1800</v>
      </c>
      <c r="E24">
        <v>0</v>
      </c>
      <c r="F24" s="6">
        <v>936</v>
      </c>
      <c r="G24">
        <v>1057</v>
      </c>
    </row>
    <row r="25" spans="1:7" hidden="1" x14ac:dyDescent="0.3">
      <c r="A25" t="s">
        <v>13</v>
      </c>
      <c r="B25" s="3">
        <v>0.49769999999999998</v>
      </c>
      <c r="C25">
        <v>900</v>
      </c>
      <c r="D25">
        <v>4171</v>
      </c>
      <c r="E25">
        <v>8</v>
      </c>
      <c r="F25" s="6">
        <v>271.23529411764702</v>
      </c>
      <c r="G25">
        <v>319</v>
      </c>
    </row>
    <row r="26" spans="1:7" x14ac:dyDescent="0.3">
      <c r="A26" t="s">
        <v>16</v>
      </c>
      <c r="B26" s="3">
        <v>0.51400000000000001</v>
      </c>
      <c r="C26">
        <v>770</v>
      </c>
      <c r="D26">
        <v>2200</v>
      </c>
      <c r="E26">
        <v>0</v>
      </c>
      <c r="F26" s="6">
        <v>575</v>
      </c>
      <c r="G26">
        <v>650</v>
      </c>
    </row>
    <row r="27" spans="1:7" x14ac:dyDescent="0.3">
      <c r="A27" t="s">
        <v>37</v>
      </c>
      <c r="B27" s="3">
        <v>0.52969999999999995</v>
      </c>
      <c r="C27">
        <v>340</v>
      </c>
      <c r="D27">
        <v>2028</v>
      </c>
      <c r="E27">
        <v>0</v>
      </c>
      <c r="F27" s="6">
        <v>340.61538461538402</v>
      </c>
      <c r="G27">
        <v>706</v>
      </c>
    </row>
    <row r="28" spans="1:7" hidden="1" x14ac:dyDescent="0.3">
      <c r="A28" t="s">
        <v>41</v>
      </c>
      <c r="B28" s="3">
        <v>0.54530000000000001</v>
      </c>
      <c r="C28">
        <v>1200</v>
      </c>
      <c r="D28">
        <v>3060</v>
      </c>
      <c r="E28">
        <v>7</v>
      </c>
      <c r="F28" s="6">
        <v>1105</v>
      </c>
      <c r="G28">
        <v>516</v>
      </c>
    </row>
    <row r="29" spans="1:7" x14ac:dyDescent="0.3">
      <c r="A29" t="s">
        <v>52</v>
      </c>
      <c r="B29" s="3">
        <v>0.56089999999999995</v>
      </c>
      <c r="C29">
        <v>770</v>
      </c>
      <c r="D29">
        <v>2132</v>
      </c>
      <c r="E29">
        <v>0</v>
      </c>
      <c r="F29" s="6">
        <v>629.42857142857099</v>
      </c>
      <c r="G29">
        <v>650</v>
      </c>
    </row>
    <row r="30" spans="1:7" hidden="1" x14ac:dyDescent="0.3">
      <c r="A30" t="s">
        <v>25</v>
      </c>
      <c r="B30" s="3">
        <v>0.57579999999999998</v>
      </c>
      <c r="C30">
        <v>900</v>
      </c>
      <c r="D30">
        <v>4194</v>
      </c>
      <c r="E30">
        <v>8</v>
      </c>
      <c r="F30" s="6">
        <v>699</v>
      </c>
      <c r="G30">
        <v>319</v>
      </c>
    </row>
    <row r="31" spans="1:7" hidden="1" x14ac:dyDescent="0.3">
      <c r="A31" t="s">
        <v>12</v>
      </c>
      <c r="B31" s="3">
        <v>0.59050000000000002</v>
      </c>
      <c r="C31">
        <v>950</v>
      </c>
      <c r="D31">
        <v>3188</v>
      </c>
      <c r="E31">
        <v>7</v>
      </c>
      <c r="F31" s="6">
        <v>1037</v>
      </c>
      <c r="G31">
        <v>319</v>
      </c>
    </row>
    <row r="32" spans="1:7" x14ac:dyDescent="0.3">
      <c r="A32" t="s">
        <v>48</v>
      </c>
      <c r="B32" s="3">
        <v>0.60460000000000003</v>
      </c>
      <c r="C32">
        <v>400</v>
      </c>
      <c r="D32">
        <v>1998</v>
      </c>
      <c r="E32">
        <v>0</v>
      </c>
      <c r="F32" s="6">
        <v>3996</v>
      </c>
      <c r="G32">
        <v>3981</v>
      </c>
    </row>
    <row r="33" spans="1:7" hidden="1" x14ac:dyDescent="0.3">
      <c r="A33" t="s">
        <v>46</v>
      </c>
      <c r="B33" s="3">
        <v>0.61850000000000005</v>
      </c>
      <c r="C33">
        <v>800</v>
      </c>
      <c r="D33">
        <v>3489</v>
      </c>
      <c r="E33">
        <v>7</v>
      </c>
      <c r="F33" s="6">
        <v>261.933333333333</v>
      </c>
      <c r="G33">
        <v>650</v>
      </c>
    </row>
    <row r="34" spans="1:7" hidden="1" x14ac:dyDescent="0.3">
      <c r="A34" t="s">
        <v>29</v>
      </c>
      <c r="B34" s="3">
        <v>0.63239999999999996</v>
      </c>
      <c r="C34">
        <v>908</v>
      </c>
      <c r="D34">
        <v>3902</v>
      </c>
      <c r="E34">
        <v>8</v>
      </c>
      <c r="F34" s="6">
        <v>975.5</v>
      </c>
      <c r="G34">
        <v>319</v>
      </c>
    </row>
    <row r="35" spans="1:7" hidden="1" x14ac:dyDescent="0.3">
      <c r="A35" t="s">
        <v>47</v>
      </c>
      <c r="B35" s="3">
        <v>0.64610000000000001</v>
      </c>
      <c r="C35">
        <v>3859</v>
      </c>
      <c r="D35">
        <v>3888</v>
      </c>
      <c r="E35">
        <v>9</v>
      </c>
      <c r="F35" s="6">
        <v>228.70588235294099</v>
      </c>
      <c r="G35">
        <v>516</v>
      </c>
    </row>
    <row r="36" spans="1:7" hidden="1" x14ac:dyDescent="0.3">
      <c r="A36" t="s">
        <v>20</v>
      </c>
      <c r="B36" s="3">
        <v>0.65959999999999996</v>
      </c>
      <c r="C36">
        <v>350</v>
      </c>
      <c r="D36">
        <v>1400</v>
      </c>
      <c r="E36">
        <v>6</v>
      </c>
      <c r="F36" s="6">
        <v>950</v>
      </c>
      <c r="G36">
        <v>706</v>
      </c>
    </row>
    <row r="37" spans="1:7" hidden="1" x14ac:dyDescent="0.3">
      <c r="A37" t="s">
        <v>21</v>
      </c>
      <c r="B37" s="3">
        <v>0.67230000000000001</v>
      </c>
      <c r="C37">
        <v>420</v>
      </c>
      <c r="D37">
        <v>1200</v>
      </c>
      <c r="E37">
        <v>6</v>
      </c>
      <c r="F37" s="6">
        <v>1200</v>
      </c>
      <c r="G37">
        <v>4178</v>
      </c>
    </row>
    <row r="38" spans="1:7" x14ac:dyDescent="0.3">
      <c r="A38" t="s">
        <v>7</v>
      </c>
      <c r="B38" s="3">
        <v>0.68459999999999999</v>
      </c>
      <c r="C38">
        <v>600</v>
      </c>
      <c r="D38">
        <v>2320</v>
      </c>
      <c r="E38">
        <v>0</v>
      </c>
      <c r="F38" s="6">
        <v>1160</v>
      </c>
      <c r="G38">
        <v>1057</v>
      </c>
    </row>
    <row r="39" spans="1:7" hidden="1" x14ac:dyDescent="0.3">
      <c r="A39" t="s">
        <v>32</v>
      </c>
      <c r="B39" s="3">
        <v>0.69650000000000001</v>
      </c>
      <c r="C39">
        <v>550</v>
      </c>
      <c r="D39">
        <v>2814</v>
      </c>
      <c r="E39">
        <v>7</v>
      </c>
      <c r="F39" s="6">
        <v>335.7</v>
      </c>
      <c r="G39">
        <v>1057</v>
      </c>
    </row>
    <row r="40" spans="1:7" x14ac:dyDescent="0.3">
      <c r="A40" t="s">
        <v>15</v>
      </c>
      <c r="B40" s="3">
        <v>0.70820000000000005</v>
      </c>
      <c r="C40">
        <v>672</v>
      </c>
      <c r="D40">
        <v>2100</v>
      </c>
      <c r="E40">
        <v>0</v>
      </c>
      <c r="F40" s="6">
        <v>330</v>
      </c>
      <c r="G40">
        <v>1057</v>
      </c>
    </row>
    <row r="41" spans="1:7" hidden="1" x14ac:dyDescent="0.3">
      <c r="A41" t="s">
        <v>18</v>
      </c>
      <c r="B41" s="3">
        <v>0.71940000000000004</v>
      </c>
      <c r="C41">
        <v>454</v>
      </c>
      <c r="D41">
        <v>3157</v>
      </c>
      <c r="E41">
        <v>7</v>
      </c>
      <c r="F41" s="6">
        <v>1578.5</v>
      </c>
      <c r="G41">
        <v>4178</v>
      </c>
    </row>
    <row r="42" spans="1:7" hidden="1" x14ac:dyDescent="0.3">
      <c r="A42" t="s">
        <v>31</v>
      </c>
      <c r="B42" s="3">
        <v>0.73029999999999995</v>
      </c>
      <c r="C42">
        <v>600</v>
      </c>
      <c r="D42">
        <v>2640</v>
      </c>
      <c r="E42">
        <v>7</v>
      </c>
      <c r="F42" s="6">
        <v>280</v>
      </c>
      <c r="G42">
        <v>1057</v>
      </c>
    </row>
    <row r="43" spans="1:7" x14ac:dyDescent="0.3">
      <c r="A43" t="s">
        <v>23</v>
      </c>
      <c r="B43" s="3">
        <v>0.7409</v>
      </c>
      <c r="C43">
        <v>650</v>
      </c>
      <c r="D43">
        <v>2306</v>
      </c>
      <c r="E43">
        <v>0</v>
      </c>
      <c r="F43" s="6">
        <v>271.90909090909003</v>
      </c>
      <c r="G43">
        <v>1057</v>
      </c>
    </row>
    <row r="44" spans="1:7" hidden="1" x14ac:dyDescent="0.3">
      <c r="A44" t="s">
        <v>8</v>
      </c>
      <c r="B44" s="3">
        <v>0.75109999999999999</v>
      </c>
      <c r="C44">
        <v>300</v>
      </c>
      <c r="D44">
        <v>2874</v>
      </c>
      <c r="E44">
        <v>7</v>
      </c>
      <c r="F44" s="6">
        <v>479</v>
      </c>
      <c r="G44">
        <v>1016</v>
      </c>
    </row>
    <row r="45" spans="1:7" x14ac:dyDescent="0.3">
      <c r="A45" t="s">
        <v>38</v>
      </c>
      <c r="B45" s="3">
        <v>0.76119999999999999</v>
      </c>
      <c r="C45">
        <v>550</v>
      </c>
      <c r="D45">
        <v>2420</v>
      </c>
      <c r="E45">
        <v>0</v>
      </c>
      <c r="F45" s="6">
        <v>286</v>
      </c>
      <c r="G45">
        <v>1057</v>
      </c>
    </row>
    <row r="46" spans="1:7" x14ac:dyDescent="0.3">
      <c r="A46" t="s">
        <v>10</v>
      </c>
      <c r="B46" s="3">
        <v>0.77129999999999999</v>
      </c>
      <c r="C46">
        <v>850</v>
      </c>
      <c r="D46">
        <v>2550</v>
      </c>
      <c r="E46">
        <v>0</v>
      </c>
      <c r="F46" s="6">
        <v>178.125</v>
      </c>
      <c r="G46">
        <v>319</v>
      </c>
    </row>
    <row r="47" spans="1:7" hidden="1" x14ac:dyDescent="0.3">
      <c r="A47" t="s">
        <v>24</v>
      </c>
      <c r="B47" s="3">
        <v>0.78120000000000001</v>
      </c>
      <c r="C47">
        <v>908</v>
      </c>
      <c r="D47">
        <v>2800</v>
      </c>
      <c r="E47">
        <v>7</v>
      </c>
      <c r="F47" s="6">
        <v>700</v>
      </c>
      <c r="G47">
        <v>319</v>
      </c>
    </row>
    <row r="48" spans="1:7" hidden="1" x14ac:dyDescent="0.3">
      <c r="A48" t="s">
        <v>9</v>
      </c>
      <c r="B48" s="3">
        <v>0.79090000000000005</v>
      </c>
      <c r="C48">
        <v>600</v>
      </c>
      <c r="D48">
        <v>1250</v>
      </c>
      <c r="E48">
        <v>6</v>
      </c>
      <c r="F48" s="6">
        <v>916.66666666666595</v>
      </c>
      <c r="G48">
        <v>1057</v>
      </c>
    </row>
    <row r="49" spans="1:7" x14ac:dyDescent="0.3">
      <c r="A49" t="s">
        <v>34</v>
      </c>
      <c r="B49" s="3">
        <v>0.79969999999999997</v>
      </c>
      <c r="C49">
        <v>750</v>
      </c>
      <c r="D49">
        <v>2463</v>
      </c>
      <c r="E49">
        <v>0</v>
      </c>
      <c r="F49" s="6">
        <v>164.2</v>
      </c>
      <c r="G49">
        <v>650</v>
      </c>
    </row>
  </sheetData>
  <autoFilter ref="A1:F49" xr:uid="{00000000-0001-0000-0000-000000000000}">
    <filterColumn colId="4">
      <filters>
        <filter val="0"/>
        <filter val="4"/>
      </filters>
    </filterColumn>
    <filterColumn colId="5">
      <customFilters>
        <customFilter operator="lessThanOrEqual" val="4225"/>
      </customFilters>
    </filterColumn>
    <sortState xmlns:xlrd2="http://schemas.microsoft.com/office/spreadsheetml/2017/richdata2" ref="A2:F49">
      <sortCondition ref="B1:B49"/>
    </sortState>
  </autoFilter>
  <sortState xmlns:xlrd2="http://schemas.microsoft.com/office/spreadsheetml/2017/richdata2" ref="A2:E49">
    <sortCondition ref="B1:B49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FC17-8C2F-4CA7-9719-627C236EDF8A}">
  <dimension ref="A1:G19"/>
  <sheetViews>
    <sheetView tabSelected="1" workbookViewId="0">
      <selection sqref="A1:G1048576"/>
    </sheetView>
  </sheetViews>
  <sheetFormatPr defaultRowHeight="14.4" x14ac:dyDescent="0.3"/>
  <cols>
    <col min="1" max="1" width="78" bestFit="1" customWidth="1"/>
    <col min="2" max="2" width="16.44140625" bestFit="1" customWidth="1"/>
    <col min="3" max="3" width="27" bestFit="1" customWidth="1"/>
    <col min="4" max="4" width="15.6640625" bestFit="1" customWidth="1"/>
    <col min="5" max="5" width="6.5546875" bestFit="1" customWidth="1"/>
    <col min="6" max="6" width="18.5546875" bestFit="1" customWidth="1"/>
    <col min="7" max="7" width="2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8" t="s">
        <v>66</v>
      </c>
      <c r="G1" s="1" t="s">
        <v>67</v>
      </c>
    </row>
    <row r="2" spans="1:7" x14ac:dyDescent="0.3">
      <c r="A2" t="s">
        <v>48</v>
      </c>
      <c r="B2" s="3">
        <v>0.60460000000000003</v>
      </c>
      <c r="C2">
        <v>400</v>
      </c>
      <c r="D2">
        <v>1998</v>
      </c>
      <c r="E2">
        <v>0</v>
      </c>
      <c r="F2" s="6">
        <v>3996</v>
      </c>
      <c r="G2">
        <v>3981</v>
      </c>
    </row>
    <row r="3" spans="1:7" x14ac:dyDescent="0.3">
      <c r="A3" t="s">
        <v>22</v>
      </c>
      <c r="B3" s="3">
        <v>5.45E-2</v>
      </c>
      <c r="C3">
        <v>700</v>
      </c>
      <c r="D3">
        <v>2200</v>
      </c>
      <c r="E3">
        <v>0</v>
      </c>
      <c r="F3" s="6">
        <v>1870</v>
      </c>
      <c r="G3">
        <v>650</v>
      </c>
    </row>
    <row r="4" spans="1:7" x14ac:dyDescent="0.3">
      <c r="A4" t="s">
        <v>6</v>
      </c>
      <c r="B4" s="3">
        <v>0.1293</v>
      </c>
      <c r="C4">
        <v>1740</v>
      </c>
      <c r="D4">
        <v>6120</v>
      </c>
      <c r="E4">
        <v>4</v>
      </c>
      <c r="F4" s="6">
        <v>1700</v>
      </c>
      <c r="G4">
        <v>516</v>
      </c>
    </row>
    <row r="5" spans="1:7" x14ac:dyDescent="0.3">
      <c r="A5" t="s">
        <v>7</v>
      </c>
      <c r="B5" s="3">
        <v>0.68459999999999999</v>
      </c>
      <c r="C5">
        <v>600</v>
      </c>
      <c r="D5">
        <v>2320</v>
      </c>
      <c r="E5">
        <v>0</v>
      </c>
      <c r="F5" s="6">
        <v>1160</v>
      </c>
      <c r="G5">
        <v>1057</v>
      </c>
    </row>
    <row r="6" spans="1:7" x14ac:dyDescent="0.3">
      <c r="A6" t="s">
        <v>14</v>
      </c>
      <c r="B6" s="3">
        <v>0.24149999999999999</v>
      </c>
      <c r="C6">
        <v>1362</v>
      </c>
      <c r="D6">
        <v>6150</v>
      </c>
      <c r="E6">
        <v>4</v>
      </c>
      <c r="F6" s="6">
        <v>1025</v>
      </c>
      <c r="G6">
        <v>516</v>
      </c>
    </row>
    <row r="7" spans="1:7" x14ac:dyDescent="0.3">
      <c r="A7" t="s">
        <v>51</v>
      </c>
      <c r="B7" s="3">
        <v>0.46479999999999999</v>
      </c>
      <c r="C7">
        <v>400</v>
      </c>
      <c r="D7">
        <v>2392</v>
      </c>
      <c r="E7">
        <v>0</v>
      </c>
      <c r="F7" s="6">
        <v>956.8</v>
      </c>
      <c r="G7">
        <v>3981</v>
      </c>
    </row>
    <row r="8" spans="1:7" x14ac:dyDescent="0.3">
      <c r="A8" t="s">
        <v>26</v>
      </c>
      <c r="B8" s="3">
        <v>0.48139999999999999</v>
      </c>
      <c r="C8">
        <v>600</v>
      </c>
      <c r="D8">
        <v>1800</v>
      </c>
      <c r="E8">
        <v>0</v>
      </c>
      <c r="F8" s="6">
        <v>936</v>
      </c>
      <c r="G8">
        <v>1057</v>
      </c>
    </row>
    <row r="9" spans="1:7" x14ac:dyDescent="0.3">
      <c r="A9" t="s">
        <v>19</v>
      </c>
      <c r="B9" s="3">
        <v>0.1754</v>
      </c>
      <c r="C9">
        <v>720</v>
      </c>
      <c r="D9">
        <v>2250</v>
      </c>
      <c r="E9">
        <v>0</v>
      </c>
      <c r="F9" s="6">
        <v>921.42857142857099</v>
      </c>
      <c r="G9">
        <v>650</v>
      </c>
    </row>
    <row r="10" spans="1:7" x14ac:dyDescent="0.3">
      <c r="A10" t="s">
        <v>17</v>
      </c>
      <c r="B10" s="3">
        <v>0.3785</v>
      </c>
      <c r="C10">
        <v>750</v>
      </c>
      <c r="D10">
        <v>2100</v>
      </c>
      <c r="E10">
        <v>0</v>
      </c>
      <c r="F10" s="6">
        <v>840</v>
      </c>
      <c r="G10">
        <v>650</v>
      </c>
    </row>
    <row r="11" spans="1:7" x14ac:dyDescent="0.3">
      <c r="A11" t="s">
        <v>33</v>
      </c>
      <c r="B11" s="3">
        <v>0.2198</v>
      </c>
      <c r="C11">
        <v>2270</v>
      </c>
      <c r="D11">
        <v>6244</v>
      </c>
      <c r="E11">
        <v>4</v>
      </c>
      <c r="F11" s="6">
        <v>693.77777777777703</v>
      </c>
      <c r="G11">
        <v>516</v>
      </c>
    </row>
    <row r="12" spans="1:7" x14ac:dyDescent="0.3">
      <c r="A12" t="s">
        <v>52</v>
      </c>
      <c r="B12" s="3">
        <v>0.56089999999999995</v>
      </c>
      <c r="C12">
        <v>770</v>
      </c>
      <c r="D12">
        <v>2132</v>
      </c>
      <c r="E12">
        <v>0</v>
      </c>
      <c r="F12" s="6">
        <v>629.42857142857099</v>
      </c>
      <c r="G12">
        <v>650</v>
      </c>
    </row>
    <row r="13" spans="1:7" x14ac:dyDescent="0.3">
      <c r="A13" t="s">
        <v>16</v>
      </c>
      <c r="B13" s="3">
        <v>0.51400000000000001</v>
      </c>
      <c r="C13">
        <v>770</v>
      </c>
      <c r="D13">
        <v>2200</v>
      </c>
      <c r="E13">
        <v>0</v>
      </c>
      <c r="F13" s="6">
        <v>575</v>
      </c>
      <c r="G13">
        <v>650</v>
      </c>
    </row>
    <row r="14" spans="1:7" x14ac:dyDescent="0.3">
      <c r="A14" t="s">
        <v>37</v>
      </c>
      <c r="B14" s="3">
        <v>0.52969999999999995</v>
      </c>
      <c r="C14">
        <v>340</v>
      </c>
      <c r="D14">
        <v>2028</v>
      </c>
      <c r="E14">
        <v>0</v>
      </c>
      <c r="F14" s="6">
        <v>340.61538461538402</v>
      </c>
      <c r="G14">
        <v>706</v>
      </c>
    </row>
    <row r="15" spans="1:7" x14ac:dyDescent="0.3">
      <c r="A15" t="s">
        <v>15</v>
      </c>
      <c r="B15" s="3">
        <v>0.70820000000000005</v>
      </c>
      <c r="C15">
        <v>672</v>
      </c>
      <c r="D15">
        <v>2100</v>
      </c>
      <c r="E15">
        <v>0</v>
      </c>
      <c r="F15" s="6">
        <v>330</v>
      </c>
      <c r="G15">
        <v>1057</v>
      </c>
    </row>
    <row r="16" spans="1:7" x14ac:dyDescent="0.3">
      <c r="A16" t="s">
        <v>38</v>
      </c>
      <c r="B16" s="3">
        <v>0.76119999999999999</v>
      </c>
      <c r="C16">
        <v>550</v>
      </c>
      <c r="D16">
        <v>2420</v>
      </c>
      <c r="E16">
        <v>0</v>
      </c>
      <c r="F16" s="6">
        <v>286</v>
      </c>
      <c r="G16">
        <v>1057</v>
      </c>
    </row>
    <row r="17" spans="1:7" x14ac:dyDescent="0.3">
      <c r="A17" t="s">
        <v>23</v>
      </c>
      <c r="B17" s="3">
        <v>0.7409</v>
      </c>
      <c r="C17">
        <v>650</v>
      </c>
      <c r="D17">
        <v>2306</v>
      </c>
      <c r="E17">
        <v>0</v>
      </c>
      <c r="F17" s="6">
        <v>271.90909090909003</v>
      </c>
      <c r="G17">
        <v>1057</v>
      </c>
    </row>
    <row r="18" spans="1:7" x14ac:dyDescent="0.3">
      <c r="A18" t="s">
        <v>10</v>
      </c>
      <c r="B18" s="3">
        <v>0.77129999999999999</v>
      </c>
      <c r="C18">
        <v>850</v>
      </c>
      <c r="D18">
        <v>2550</v>
      </c>
      <c r="E18">
        <v>0</v>
      </c>
      <c r="F18" s="6">
        <v>178.125</v>
      </c>
      <c r="G18">
        <v>319</v>
      </c>
    </row>
    <row r="19" spans="1:7" x14ac:dyDescent="0.3">
      <c r="A19" t="s">
        <v>34</v>
      </c>
      <c r="B19" s="3">
        <v>0.79969999999999997</v>
      </c>
      <c r="C19">
        <v>750</v>
      </c>
      <c r="D19">
        <v>2463</v>
      </c>
      <c r="E19">
        <v>0</v>
      </c>
      <c r="F19" s="6">
        <v>164.2</v>
      </c>
      <c r="G19">
        <v>650</v>
      </c>
    </row>
  </sheetData>
  <autoFilter ref="A1:G1" xr:uid="{94E4FC17-8C2F-4CA7-9719-627C236EDF8A}">
    <sortState xmlns:xlrd2="http://schemas.microsoft.com/office/spreadsheetml/2017/richdata2" ref="A2:G19">
      <sortCondition descending="1"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Focus_products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2026-05-21T13:11:57Z</dcterms:created>
  <dcterms:modified xsi:type="dcterms:W3CDTF">2026-05-23T14:14:27Z</dcterms:modified>
</cp:coreProperties>
</file>