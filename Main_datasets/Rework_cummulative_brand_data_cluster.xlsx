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Datasets\Dataset_git\Rework\"/>
    </mc:Choice>
  </mc:AlternateContent>
  <xr:revisionPtr revIDLastSave="0" documentId="13_ncr:1_{E370D820-BEB0-4E18-A3AB-8972657711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uster_Analysis" sheetId="6" r:id="rId1"/>
    <sheet name="Main_Data" sheetId="1" r:id="rId2"/>
  </sheets>
  <definedNames>
    <definedName name="_xlnm._FilterDatabase" localSheetId="1" hidden="1">Main_Data!$A$1:$M$1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2" i="1"/>
  <c r="K3" i="1"/>
  <c r="M3" i="1" s="1"/>
  <c r="K4" i="1"/>
  <c r="M4" i="1" s="1"/>
  <c r="K5" i="1"/>
  <c r="M5" i="1" s="1"/>
  <c r="K6" i="1"/>
  <c r="M6" i="1" s="1"/>
  <c r="K7" i="1"/>
  <c r="M7" i="1" s="1"/>
  <c r="K8" i="1"/>
  <c r="M8" i="1" s="1"/>
  <c r="K9" i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M50" i="1" s="1"/>
  <c r="K51" i="1"/>
  <c r="M51" i="1" s="1"/>
  <c r="K52" i="1"/>
  <c r="M52" i="1" s="1"/>
  <c r="K53" i="1"/>
  <c r="M53" i="1" s="1"/>
  <c r="K54" i="1"/>
  <c r="M54" i="1" s="1"/>
  <c r="K55" i="1"/>
  <c r="M55" i="1" s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M62" i="1" s="1"/>
  <c r="K63" i="1"/>
  <c r="M63" i="1" s="1"/>
  <c r="K64" i="1"/>
  <c r="M64" i="1" s="1"/>
  <c r="K65" i="1"/>
  <c r="M65" i="1" s="1"/>
  <c r="K66" i="1"/>
  <c r="M66" i="1" s="1"/>
  <c r="K67" i="1"/>
  <c r="M67" i="1" s="1"/>
  <c r="K68" i="1"/>
  <c r="M68" i="1" s="1"/>
  <c r="K69" i="1"/>
  <c r="M69" i="1" s="1"/>
  <c r="K70" i="1"/>
  <c r="M70" i="1" s="1"/>
  <c r="K71" i="1"/>
  <c r="M71" i="1" s="1"/>
  <c r="K72" i="1"/>
  <c r="M72" i="1" s="1"/>
  <c r="K73" i="1"/>
  <c r="M73" i="1" s="1"/>
  <c r="K74" i="1"/>
  <c r="M74" i="1" s="1"/>
  <c r="K75" i="1"/>
  <c r="M75" i="1" s="1"/>
  <c r="K76" i="1"/>
  <c r="M76" i="1" s="1"/>
  <c r="K77" i="1"/>
  <c r="M77" i="1" s="1"/>
  <c r="K78" i="1"/>
  <c r="M78" i="1" s="1"/>
  <c r="K79" i="1"/>
  <c r="M79" i="1" s="1"/>
  <c r="K80" i="1"/>
  <c r="M80" i="1" s="1"/>
  <c r="K81" i="1"/>
  <c r="M81" i="1" s="1"/>
  <c r="K82" i="1"/>
  <c r="M82" i="1" s="1"/>
  <c r="K83" i="1"/>
  <c r="M83" i="1" s="1"/>
  <c r="K84" i="1"/>
  <c r="M84" i="1" s="1"/>
  <c r="K85" i="1"/>
  <c r="M85" i="1" s="1"/>
  <c r="K86" i="1"/>
  <c r="M86" i="1" s="1"/>
  <c r="K87" i="1"/>
  <c r="M87" i="1" s="1"/>
  <c r="K88" i="1"/>
  <c r="M88" i="1" s="1"/>
  <c r="K89" i="1"/>
  <c r="M89" i="1" s="1"/>
  <c r="K90" i="1"/>
  <c r="M90" i="1" s="1"/>
  <c r="K91" i="1"/>
  <c r="M91" i="1" s="1"/>
  <c r="K92" i="1"/>
  <c r="M92" i="1" s="1"/>
  <c r="K93" i="1"/>
  <c r="M93" i="1" s="1"/>
  <c r="K94" i="1"/>
  <c r="M94" i="1" s="1"/>
  <c r="K95" i="1"/>
  <c r="M95" i="1" s="1"/>
  <c r="K96" i="1"/>
  <c r="M96" i="1" s="1"/>
  <c r="K97" i="1"/>
  <c r="M97" i="1" s="1"/>
  <c r="K98" i="1"/>
  <c r="M98" i="1" s="1"/>
  <c r="K99" i="1"/>
  <c r="M99" i="1" s="1"/>
  <c r="K100" i="1"/>
  <c r="M100" i="1" s="1"/>
  <c r="K101" i="1"/>
  <c r="M101" i="1" s="1"/>
  <c r="K102" i="1"/>
  <c r="M102" i="1" s="1"/>
  <c r="K103" i="1"/>
  <c r="M103" i="1" s="1"/>
  <c r="K104" i="1"/>
  <c r="M104" i="1" s="1"/>
  <c r="K105" i="1"/>
  <c r="M105" i="1" s="1"/>
  <c r="K106" i="1"/>
  <c r="M106" i="1" s="1"/>
  <c r="K107" i="1"/>
  <c r="M107" i="1" s="1"/>
  <c r="K108" i="1"/>
  <c r="M108" i="1" s="1"/>
  <c r="K109" i="1"/>
  <c r="M109" i="1" s="1"/>
  <c r="K110" i="1"/>
  <c r="M110" i="1" s="1"/>
  <c r="K111" i="1"/>
  <c r="M111" i="1" s="1"/>
  <c r="K112" i="1"/>
  <c r="M112" i="1" s="1"/>
  <c r="K113" i="1"/>
  <c r="M113" i="1" s="1"/>
  <c r="K114" i="1"/>
  <c r="M114" i="1" s="1"/>
  <c r="K115" i="1"/>
  <c r="M115" i="1" s="1"/>
  <c r="K116" i="1"/>
  <c r="M116" i="1" s="1"/>
  <c r="K117" i="1"/>
  <c r="M117" i="1" s="1"/>
  <c r="K118" i="1"/>
  <c r="M118" i="1" s="1"/>
  <c r="K119" i="1"/>
  <c r="M119" i="1" s="1"/>
  <c r="K120" i="1"/>
  <c r="M120" i="1" s="1"/>
  <c r="K121" i="1"/>
  <c r="M121" i="1" s="1"/>
  <c r="K122" i="1"/>
  <c r="M122" i="1" s="1"/>
  <c r="K123" i="1"/>
  <c r="M123" i="1" s="1"/>
  <c r="K124" i="1"/>
  <c r="M124" i="1" s="1"/>
  <c r="K125" i="1"/>
  <c r="M125" i="1" s="1"/>
  <c r="K126" i="1"/>
  <c r="M126" i="1" s="1"/>
  <c r="K127" i="1"/>
  <c r="M127" i="1" s="1"/>
  <c r="K128" i="1"/>
  <c r="M128" i="1" s="1"/>
  <c r="K129" i="1"/>
  <c r="M129" i="1" s="1"/>
  <c r="K130" i="1"/>
  <c r="M130" i="1" s="1"/>
  <c r="K131" i="1"/>
  <c r="M131" i="1" s="1"/>
  <c r="K132" i="1"/>
  <c r="M132" i="1" s="1"/>
  <c r="K133" i="1"/>
  <c r="M133" i="1" s="1"/>
  <c r="K134" i="1"/>
  <c r="M134" i="1" s="1"/>
  <c r="K135" i="1"/>
  <c r="M135" i="1" s="1"/>
  <c r="K136" i="1"/>
  <c r="M136" i="1" s="1"/>
  <c r="K137" i="1"/>
  <c r="M137" i="1" s="1"/>
  <c r="K138" i="1"/>
  <c r="M138" i="1" s="1"/>
  <c r="K139" i="1"/>
  <c r="M139" i="1" s="1"/>
  <c r="K140" i="1"/>
  <c r="M140" i="1" s="1"/>
  <c r="K141" i="1"/>
  <c r="M141" i="1" s="1"/>
  <c r="K142" i="1"/>
  <c r="M142" i="1" s="1"/>
  <c r="K143" i="1"/>
  <c r="M143" i="1" s="1"/>
  <c r="K144" i="1"/>
  <c r="M144" i="1" s="1"/>
  <c r="K145" i="1"/>
  <c r="M145" i="1" s="1"/>
  <c r="K146" i="1"/>
  <c r="M146" i="1" s="1"/>
  <c r="K147" i="1"/>
  <c r="M147" i="1" s="1"/>
  <c r="K148" i="1"/>
  <c r="M148" i="1" s="1"/>
  <c r="K149" i="1"/>
  <c r="M149" i="1" s="1"/>
  <c r="K150" i="1"/>
  <c r="M150" i="1" s="1"/>
  <c r="K151" i="1"/>
  <c r="M151" i="1" s="1"/>
  <c r="K152" i="1"/>
  <c r="M152" i="1" s="1"/>
  <c r="K153" i="1"/>
  <c r="M153" i="1" s="1"/>
  <c r="K154" i="1"/>
  <c r="M154" i="1" s="1"/>
  <c r="K155" i="1"/>
  <c r="M155" i="1" s="1"/>
  <c r="K156" i="1"/>
  <c r="M156" i="1" s="1"/>
  <c r="K157" i="1"/>
  <c r="M157" i="1" s="1"/>
  <c r="K158" i="1"/>
  <c r="M158" i="1" s="1"/>
  <c r="K159" i="1"/>
  <c r="M159" i="1" s="1"/>
  <c r="K160" i="1"/>
  <c r="M160" i="1" s="1"/>
  <c r="K161" i="1"/>
  <c r="M161" i="1" s="1"/>
  <c r="K162" i="1"/>
  <c r="M162" i="1" s="1"/>
  <c r="K163" i="1"/>
  <c r="M163" i="1" s="1"/>
  <c r="K164" i="1"/>
  <c r="M164" i="1" s="1"/>
  <c r="K165" i="1"/>
  <c r="M165" i="1" s="1"/>
  <c r="K166" i="1"/>
  <c r="M166" i="1" s="1"/>
  <c r="K167" i="1"/>
  <c r="M167" i="1" s="1"/>
  <c r="K168" i="1"/>
  <c r="M168" i="1" s="1"/>
  <c r="K169" i="1"/>
  <c r="M169" i="1" s="1"/>
  <c r="K170" i="1"/>
  <c r="M170" i="1" s="1"/>
  <c r="K171" i="1"/>
  <c r="M171" i="1" s="1"/>
  <c r="K172" i="1"/>
  <c r="M172" i="1" s="1"/>
  <c r="K173" i="1"/>
  <c r="M173" i="1" s="1"/>
  <c r="K174" i="1"/>
  <c r="M174" i="1" s="1"/>
  <c r="K175" i="1"/>
  <c r="M175" i="1" s="1"/>
  <c r="K176" i="1"/>
  <c r="M176" i="1" s="1"/>
  <c r="K177" i="1"/>
  <c r="M177" i="1" s="1"/>
  <c r="K178" i="1"/>
  <c r="M178" i="1" s="1"/>
  <c r="K179" i="1"/>
  <c r="M179" i="1" s="1"/>
  <c r="K180" i="1"/>
  <c r="M180" i="1" s="1"/>
  <c r="K181" i="1"/>
  <c r="M181" i="1" s="1"/>
  <c r="K182" i="1"/>
  <c r="M182" i="1" s="1"/>
  <c r="K183" i="1"/>
  <c r="M183" i="1" s="1"/>
  <c r="K184" i="1"/>
  <c r="M184" i="1" s="1"/>
  <c r="K185" i="1"/>
  <c r="M185" i="1" s="1"/>
  <c r="K186" i="1"/>
  <c r="M186" i="1" s="1"/>
  <c r="K187" i="1"/>
  <c r="M187" i="1" s="1"/>
  <c r="K188" i="1"/>
  <c r="M188" i="1" s="1"/>
  <c r="K189" i="1"/>
  <c r="M189" i="1" s="1"/>
  <c r="K190" i="1"/>
  <c r="M190" i="1" s="1"/>
  <c r="K191" i="1"/>
  <c r="M191" i="1" s="1"/>
  <c r="K192" i="1"/>
  <c r="M192" i="1" s="1"/>
  <c r="K193" i="1"/>
  <c r="M193" i="1" s="1"/>
  <c r="K194" i="1"/>
  <c r="M194" i="1" s="1"/>
  <c r="K195" i="1"/>
  <c r="M195" i="1" s="1"/>
  <c r="K196" i="1"/>
  <c r="M196" i="1" s="1"/>
  <c r="K197" i="1"/>
  <c r="M197" i="1" s="1"/>
  <c r="K198" i="1"/>
  <c r="M198" i="1" s="1"/>
  <c r="K199" i="1"/>
  <c r="M199" i="1" s="1"/>
  <c r="K200" i="1"/>
  <c r="M200" i="1" s="1"/>
  <c r="K201" i="1"/>
  <c r="M201" i="1" s="1"/>
  <c r="K202" i="1"/>
  <c r="M202" i="1" s="1"/>
  <c r="K203" i="1"/>
  <c r="M203" i="1" s="1"/>
  <c r="K204" i="1"/>
  <c r="M204" i="1" s="1"/>
  <c r="K205" i="1"/>
  <c r="M205" i="1" s="1"/>
  <c r="K206" i="1"/>
  <c r="M206" i="1" s="1"/>
  <c r="K207" i="1"/>
  <c r="M207" i="1" s="1"/>
  <c r="K208" i="1"/>
  <c r="M208" i="1" s="1"/>
  <c r="K209" i="1"/>
  <c r="M209" i="1" s="1"/>
  <c r="K210" i="1"/>
  <c r="M210" i="1" s="1"/>
  <c r="K211" i="1"/>
  <c r="M211" i="1" s="1"/>
  <c r="K212" i="1"/>
  <c r="M212" i="1" s="1"/>
  <c r="K213" i="1"/>
  <c r="M213" i="1" s="1"/>
  <c r="K214" i="1"/>
  <c r="M214" i="1" s="1"/>
  <c r="K215" i="1"/>
  <c r="M215" i="1" s="1"/>
  <c r="K216" i="1"/>
  <c r="M216" i="1" s="1"/>
  <c r="K217" i="1"/>
  <c r="M217" i="1" s="1"/>
  <c r="K218" i="1"/>
  <c r="M218" i="1" s="1"/>
  <c r="K219" i="1"/>
  <c r="M219" i="1" s="1"/>
  <c r="K220" i="1"/>
  <c r="M220" i="1" s="1"/>
  <c r="K221" i="1"/>
  <c r="M221" i="1" s="1"/>
  <c r="K222" i="1"/>
  <c r="M222" i="1" s="1"/>
  <c r="K223" i="1"/>
  <c r="M223" i="1" s="1"/>
  <c r="K224" i="1"/>
  <c r="M224" i="1" s="1"/>
  <c r="K225" i="1"/>
  <c r="M225" i="1" s="1"/>
  <c r="K226" i="1"/>
  <c r="M226" i="1" s="1"/>
  <c r="K227" i="1"/>
  <c r="M227" i="1" s="1"/>
  <c r="K228" i="1"/>
  <c r="M228" i="1" s="1"/>
  <c r="K229" i="1"/>
  <c r="M229" i="1" s="1"/>
  <c r="K230" i="1"/>
  <c r="M230" i="1" s="1"/>
  <c r="K231" i="1"/>
  <c r="M231" i="1" s="1"/>
  <c r="K232" i="1"/>
  <c r="M232" i="1" s="1"/>
  <c r="K233" i="1"/>
  <c r="M233" i="1" s="1"/>
  <c r="K234" i="1"/>
  <c r="M234" i="1" s="1"/>
  <c r="K235" i="1"/>
  <c r="M235" i="1" s="1"/>
  <c r="K236" i="1"/>
  <c r="M236" i="1" s="1"/>
  <c r="K237" i="1"/>
  <c r="M237" i="1" s="1"/>
  <c r="K238" i="1"/>
  <c r="M238" i="1" s="1"/>
  <c r="K239" i="1"/>
  <c r="M239" i="1" s="1"/>
  <c r="K240" i="1"/>
  <c r="M240" i="1" s="1"/>
  <c r="K241" i="1"/>
  <c r="M241" i="1" s="1"/>
  <c r="K242" i="1"/>
  <c r="M242" i="1" s="1"/>
  <c r="K243" i="1"/>
  <c r="M243" i="1" s="1"/>
  <c r="K244" i="1"/>
  <c r="M244" i="1" s="1"/>
  <c r="K245" i="1"/>
  <c r="M245" i="1" s="1"/>
  <c r="K246" i="1"/>
  <c r="M246" i="1" s="1"/>
  <c r="K247" i="1"/>
  <c r="M247" i="1" s="1"/>
  <c r="K248" i="1"/>
  <c r="M248" i="1" s="1"/>
  <c r="K249" i="1"/>
  <c r="M249" i="1" s="1"/>
  <c r="K250" i="1"/>
  <c r="M250" i="1" s="1"/>
  <c r="K251" i="1"/>
  <c r="M251" i="1" s="1"/>
  <c r="K252" i="1"/>
  <c r="M252" i="1" s="1"/>
  <c r="K253" i="1"/>
  <c r="M253" i="1" s="1"/>
  <c r="K254" i="1"/>
  <c r="M254" i="1" s="1"/>
  <c r="K255" i="1"/>
  <c r="M255" i="1" s="1"/>
  <c r="K256" i="1"/>
  <c r="M256" i="1" s="1"/>
  <c r="K257" i="1"/>
  <c r="M257" i="1" s="1"/>
  <c r="K258" i="1"/>
  <c r="M258" i="1" s="1"/>
  <c r="K259" i="1"/>
  <c r="M259" i="1" s="1"/>
  <c r="K260" i="1"/>
  <c r="M260" i="1" s="1"/>
  <c r="K261" i="1"/>
  <c r="M261" i="1" s="1"/>
  <c r="K262" i="1"/>
  <c r="M262" i="1" s="1"/>
  <c r="K263" i="1"/>
  <c r="M263" i="1" s="1"/>
  <c r="K264" i="1"/>
  <c r="M264" i="1" s="1"/>
  <c r="K265" i="1"/>
  <c r="M265" i="1" s="1"/>
  <c r="K266" i="1"/>
  <c r="M266" i="1" s="1"/>
  <c r="K267" i="1"/>
  <c r="M267" i="1" s="1"/>
  <c r="K268" i="1"/>
  <c r="M268" i="1" s="1"/>
  <c r="K269" i="1"/>
  <c r="M269" i="1" s="1"/>
  <c r="K270" i="1"/>
  <c r="M270" i="1" s="1"/>
  <c r="K271" i="1"/>
  <c r="M271" i="1" s="1"/>
  <c r="K272" i="1"/>
  <c r="M272" i="1" s="1"/>
  <c r="K273" i="1"/>
  <c r="M273" i="1" s="1"/>
  <c r="K274" i="1"/>
  <c r="M274" i="1" s="1"/>
  <c r="K275" i="1"/>
  <c r="M275" i="1" s="1"/>
  <c r="K276" i="1"/>
  <c r="M276" i="1" s="1"/>
  <c r="K277" i="1"/>
  <c r="M277" i="1" s="1"/>
  <c r="K278" i="1"/>
  <c r="M278" i="1" s="1"/>
  <c r="K279" i="1"/>
  <c r="M279" i="1" s="1"/>
  <c r="K280" i="1"/>
  <c r="M280" i="1" s="1"/>
  <c r="K281" i="1"/>
  <c r="M281" i="1" s="1"/>
  <c r="K282" i="1"/>
  <c r="M282" i="1" s="1"/>
  <c r="K283" i="1"/>
  <c r="M283" i="1" s="1"/>
  <c r="K284" i="1"/>
  <c r="M284" i="1" s="1"/>
  <c r="K285" i="1"/>
  <c r="M285" i="1" s="1"/>
  <c r="K286" i="1"/>
  <c r="M286" i="1" s="1"/>
  <c r="K287" i="1"/>
  <c r="M287" i="1" s="1"/>
  <c r="K288" i="1"/>
  <c r="M288" i="1" s="1"/>
  <c r="K289" i="1"/>
  <c r="M289" i="1" s="1"/>
  <c r="K290" i="1"/>
  <c r="M290" i="1" s="1"/>
  <c r="K291" i="1"/>
  <c r="M291" i="1" s="1"/>
  <c r="K292" i="1"/>
  <c r="M292" i="1" s="1"/>
  <c r="K293" i="1"/>
  <c r="M293" i="1" s="1"/>
  <c r="K294" i="1"/>
  <c r="M294" i="1" s="1"/>
  <c r="K295" i="1"/>
  <c r="M295" i="1" s="1"/>
  <c r="K296" i="1"/>
  <c r="M296" i="1" s="1"/>
  <c r="K297" i="1"/>
  <c r="M297" i="1" s="1"/>
  <c r="K298" i="1"/>
  <c r="M298" i="1" s="1"/>
  <c r="K299" i="1"/>
  <c r="M299" i="1" s="1"/>
  <c r="K300" i="1"/>
  <c r="M300" i="1" s="1"/>
  <c r="K301" i="1"/>
  <c r="M301" i="1" s="1"/>
  <c r="K302" i="1"/>
  <c r="M302" i="1" s="1"/>
  <c r="K303" i="1"/>
  <c r="M303" i="1" s="1"/>
  <c r="K304" i="1"/>
  <c r="M304" i="1" s="1"/>
  <c r="K305" i="1"/>
  <c r="M305" i="1" s="1"/>
  <c r="K306" i="1"/>
  <c r="M306" i="1" s="1"/>
  <c r="K307" i="1"/>
  <c r="M307" i="1" s="1"/>
  <c r="K308" i="1"/>
  <c r="M308" i="1" s="1"/>
  <c r="K309" i="1"/>
  <c r="M309" i="1" s="1"/>
  <c r="K310" i="1"/>
  <c r="M310" i="1" s="1"/>
  <c r="K311" i="1"/>
  <c r="M311" i="1" s="1"/>
  <c r="K312" i="1"/>
  <c r="M312" i="1" s="1"/>
  <c r="K313" i="1"/>
  <c r="M313" i="1" s="1"/>
  <c r="K314" i="1"/>
  <c r="M314" i="1" s="1"/>
  <c r="K315" i="1"/>
  <c r="M315" i="1" s="1"/>
  <c r="K316" i="1"/>
  <c r="M316" i="1" s="1"/>
  <c r="K317" i="1"/>
  <c r="M317" i="1" s="1"/>
  <c r="K318" i="1"/>
  <c r="M318" i="1" s="1"/>
  <c r="K319" i="1"/>
  <c r="M319" i="1" s="1"/>
  <c r="K320" i="1"/>
  <c r="M320" i="1" s="1"/>
  <c r="K321" i="1"/>
  <c r="M321" i="1" s="1"/>
  <c r="K322" i="1"/>
  <c r="M322" i="1" s="1"/>
  <c r="K323" i="1"/>
  <c r="M323" i="1" s="1"/>
  <c r="K324" i="1"/>
  <c r="M324" i="1" s="1"/>
  <c r="K325" i="1"/>
  <c r="M325" i="1" s="1"/>
  <c r="K326" i="1"/>
  <c r="M326" i="1" s="1"/>
  <c r="K327" i="1"/>
  <c r="M327" i="1" s="1"/>
  <c r="K328" i="1"/>
  <c r="M328" i="1" s="1"/>
  <c r="K329" i="1"/>
  <c r="M329" i="1" s="1"/>
  <c r="K330" i="1"/>
  <c r="M330" i="1" s="1"/>
  <c r="K331" i="1"/>
  <c r="M331" i="1" s="1"/>
  <c r="K332" i="1"/>
  <c r="M332" i="1" s="1"/>
  <c r="K333" i="1"/>
  <c r="M333" i="1" s="1"/>
  <c r="K334" i="1"/>
  <c r="M334" i="1" s="1"/>
  <c r="K335" i="1"/>
  <c r="M335" i="1" s="1"/>
  <c r="K336" i="1"/>
  <c r="M336" i="1" s="1"/>
  <c r="K337" i="1"/>
  <c r="M337" i="1" s="1"/>
  <c r="K338" i="1"/>
  <c r="M338" i="1" s="1"/>
  <c r="K339" i="1"/>
  <c r="M339" i="1" s="1"/>
  <c r="K340" i="1"/>
  <c r="M340" i="1" s="1"/>
  <c r="K341" i="1"/>
  <c r="M341" i="1" s="1"/>
  <c r="K342" i="1"/>
  <c r="M342" i="1" s="1"/>
  <c r="K343" i="1"/>
  <c r="M343" i="1" s="1"/>
  <c r="K344" i="1"/>
  <c r="M344" i="1" s="1"/>
  <c r="K345" i="1"/>
  <c r="M345" i="1" s="1"/>
  <c r="K346" i="1"/>
  <c r="M346" i="1" s="1"/>
  <c r="K347" i="1"/>
  <c r="M347" i="1" s="1"/>
  <c r="K348" i="1"/>
  <c r="M348" i="1" s="1"/>
  <c r="K349" i="1"/>
  <c r="M349" i="1" s="1"/>
  <c r="K350" i="1"/>
  <c r="M350" i="1" s="1"/>
  <c r="K351" i="1"/>
  <c r="M351" i="1" s="1"/>
  <c r="K352" i="1"/>
  <c r="M352" i="1" s="1"/>
  <c r="K353" i="1"/>
  <c r="M353" i="1" s="1"/>
  <c r="K354" i="1"/>
  <c r="M354" i="1" s="1"/>
  <c r="K355" i="1"/>
  <c r="M355" i="1" s="1"/>
  <c r="K356" i="1"/>
  <c r="M356" i="1" s="1"/>
  <c r="K357" i="1"/>
  <c r="M357" i="1" s="1"/>
  <c r="K358" i="1"/>
  <c r="M358" i="1" s="1"/>
  <c r="K359" i="1"/>
  <c r="M359" i="1" s="1"/>
  <c r="K360" i="1"/>
  <c r="M360" i="1" s="1"/>
  <c r="K361" i="1"/>
  <c r="M361" i="1" s="1"/>
  <c r="K362" i="1"/>
  <c r="M362" i="1" s="1"/>
  <c r="K363" i="1"/>
  <c r="M363" i="1" s="1"/>
  <c r="K364" i="1"/>
  <c r="M364" i="1" s="1"/>
  <c r="K365" i="1"/>
  <c r="M365" i="1" s="1"/>
  <c r="K366" i="1"/>
  <c r="M366" i="1" s="1"/>
  <c r="K367" i="1"/>
  <c r="M367" i="1" s="1"/>
  <c r="K368" i="1"/>
  <c r="M368" i="1" s="1"/>
  <c r="K369" i="1"/>
  <c r="M369" i="1" s="1"/>
  <c r="K370" i="1"/>
  <c r="M370" i="1" s="1"/>
  <c r="K371" i="1"/>
  <c r="M371" i="1" s="1"/>
  <c r="K372" i="1"/>
  <c r="M372" i="1" s="1"/>
  <c r="K373" i="1"/>
  <c r="M373" i="1" s="1"/>
  <c r="K374" i="1"/>
  <c r="M374" i="1" s="1"/>
  <c r="K375" i="1"/>
  <c r="M375" i="1" s="1"/>
  <c r="K376" i="1"/>
  <c r="M376" i="1" s="1"/>
  <c r="K377" i="1"/>
  <c r="M377" i="1" s="1"/>
  <c r="K378" i="1"/>
  <c r="M378" i="1" s="1"/>
  <c r="K379" i="1"/>
  <c r="M379" i="1" s="1"/>
  <c r="K380" i="1"/>
  <c r="M380" i="1" s="1"/>
  <c r="K381" i="1"/>
  <c r="M381" i="1" s="1"/>
  <c r="K382" i="1"/>
  <c r="M382" i="1" s="1"/>
  <c r="K383" i="1"/>
  <c r="M383" i="1" s="1"/>
  <c r="K384" i="1"/>
  <c r="M384" i="1" s="1"/>
  <c r="K385" i="1"/>
  <c r="M385" i="1" s="1"/>
  <c r="K386" i="1"/>
  <c r="M386" i="1" s="1"/>
  <c r="K387" i="1"/>
  <c r="M387" i="1" s="1"/>
  <c r="K388" i="1"/>
  <c r="M388" i="1" s="1"/>
  <c r="K389" i="1"/>
  <c r="M389" i="1" s="1"/>
  <c r="K390" i="1"/>
  <c r="M390" i="1" s="1"/>
  <c r="K391" i="1"/>
  <c r="M391" i="1" s="1"/>
  <c r="K392" i="1"/>
  <c r="M392" i="1" s="1"/>
  <c r="K393" i="1"/>
  <c r="M393" i="1" s="1"/>
  <c r="K394" i="1"/>
  <c r="M394" i="1" s="1"/>
  <c r="K395" i="1"/>
  <c r="M395" i="1" s="1"/>
  <c r="K396" i="1"/>
  <c r="M396" i="1" s="1"/>
  <c r="K397" i="1"/>
  <c r="M397" i="1" s="1"/>
  <c r="K398" i="1"/>
  <c r="M398" i="1" s="1"/>
  <c r="K399" i="1"/>
  <c r="M399" i="1" s="1"/>
  <c r="K400" i="1"/>
  <c r="M400" i="1" s="1"/>
  <c r="K401" i="1"/>
  <c r="M401" i="1" s="1"/>
  <c r="K402" i="1"/>
  <c r="M402" i="1" s="1"/>
  <c r="K403" i="1"/>
  <c r="M403" i="1" s="1"/>
  <c r="K404" i="1"/>
  <c r="M404" i="1" s="1"/>
  <c r="K405" i="1"/>
  <c r="M405" i="1" s="1"/>
  <c r="K406" i="1"/>
  <c r="M406" i="1" s="1"/>
  <c r="K407" i="1"/>
  <c r="M407" i="1" s="1"/>
  <c r="K408" i="1"/>
  <c r="M408" i="1" s="1"/>
  <c r="K409" i="1"/>
  <c r="M409" i="1" s="1"/>
  <c r="K410" i="1"/>
  <c r="M410" i="1" s="1"/>
  <c r="K411" i="1"/>
  <c r="M411" i="1" s="1"/>
  <c r="K412" i="1"/>
  <c r="M412" i="1" s="1"/>
  <c r="K413" i="1"/>
  <c r="M413" i="1" s="1"/>
  <c r="K414" i="1"/>
  <c r="M414" i="1" s="1"/>
  <c r="K415" i="1"/>
  <c r="M415" i="1" s="1"/>
  <c r="K416" i="1"/>
  <c r="M416" i="1" s="1"/>
  <c r="K417" i="1"/>
  <c r="M417" i="1" s="1"/>
  <c r="K418" i="1"/>
  <c r="M418" i="1" s="1"/>
  <c r="K419" i="1"/>
  <c r="M419" i="1" s="1"/>
  <c r="K420" i="1"/>
  <c r="M420" i="1" s="1"/>
  <c r="K421" i="1"/>
  <c r="M421" i="1" s="1"/>
  <c r="K422" i="1"/>
  <c r="M422" i="1" s="1"/>
  <c r="K423" i="1"/>
  <c r="M423" i="1" s="1"/>
  <c r="K424" i="1"/>
  <c r="M424" i="1" s="1"/>
  <c r="K425" i="1"/>
  <c r="M425" i="1" s="1"/>
  <c r="K426" i="1"/>
  <c r="M426" i="1" s="1"/>
  <c r="K427" i="1"/>
  <c r="M427" i="1" s="1"/>
  <c r="K428" i="1"/>
  <c r="M428" i="1" s="1"/>
  <c r="K429" i="1"/>
  <c r="M429" i="1" s="1"/>
  <c r="K430" i="1"/>
  <c r="M430" i="1" s="1"/>
  <c r="K431" i="1"/>
  <c r="M431" i="1" s="1"/>
  <c r="K432" i="1"/>
  <c r="M432" i="1" s="1"/>
  <c r="K433" i="1"/>
  <c r="M433" i="1" s="1"/>
  <c r="K434" i="1"/>
  <c r="M434" i="1" s="1"/>
  <c r="K435" i="1"/>
  <c r="M435" i="1" s="1"/>
  <c r="K436" i="1"/>
  <c r="M436" i="1" s="1"/>
  <c r="K437" i="1"/>
  <c r="M437" i="1" s="1"/>
  <c r="K438" i="1"/>
  <c r="M438" i="1" s="1"/>
  <c r="K439" i="1"/>
  <c r="M439" i="1" s="1"/>
  <c r="K440" i="1"/>
  <c r="M440" i="1" s="1"/>
  <c r="K441" i="1"/>
  <c r="M441" i="1" s="1"/>
  <c r="K442" i="1"/>
  <c r="M442" i="1" s="1"/>
  <c r="K443" i="1"/>
  <c r="M443" i="1" s="1"/>
  <c r="K444" i="1"/>
  <c r="M444" i="1" s="1"/>
  <c r="K445" i="1"/>
  <c r="M445" i="1" s="1"/>
  <c r="K446" i="1"/>
  <c r="M446" i="1" s="1"/>
  <c r="K447" i="1"/>
  <c r="M447" i="1" s="1"/>
  <c r="K448" i="1"/>
  <c r="M448" i="1" s="1"/>
  <c r="K449" i="1"/>
  <c r="M449" i="1" s="1"/>
  <c r="K2" i="1"/>
  <c r="M2" i="1" s="1"/>
  <c r="J3" i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L42" i="1" s="1"/>
  <c r="J43" i="1"/>
  <c r="L43" i="1" s="1"/>
  <c r="J44" i="1"/>
  <c r="L44" i="1" s="1"/>
  <c r="J45" i="1"/>
  <c r="L45" i="1" s="1"/>
  <c r="J46" i="1"/>
  <c r="L46" i="1" s="1"/>
  <c r="J47" i="1"/>
  <c r="L47" i="1" s="1"/>
  <c r="J48" i="1"/>
  <c r="L48" i="1" s="1"/>
  <c r="J49" i="1"/>
  <c r="L49" i="1" s="1"/>
  <c r="J50" i="1"/>
  <c r="L50" i="1" s="1"/>
  <c r="J51" i="1"/>
  <c r="L51" i="1" s="1"/>
  <c r="J52" i="1"/>
  <c r="L52" i="1" s="1"/>
  <c r="J53" i="1"/>
  <c r="L53" i="1" s="1"/>
  <c r="J54" i="1"/>
  <c r="L54" i="1" s="1"/>
  <c r="J55" i="1"/>
  <c r="L5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L68" i="1" s="1"/>
  <c r="J69" i="1"/>
  <c r="L69" i="1" s="1"/>
  <c r="J70" i="1"/>
  <c r="L70" i="1" s="1"/>
  <c r="J71" i="1"/>
  <c r="L71" i="1" s="1"/>
  <c r="J72" i="1"/>
  <c r="L72" i="1" s="1"/>
  <c r="J73" i="1"/>
  <c r="L73" i="1" s="1"/>
  <c r="J74" i="1"/>
  <c r="L74" i="1" s="1"/>
  <c r="J75" i="1"/>
  <c r="L75" i="1" s="1"/>
  <c r="J76" i="1"/>
  <c r="L76" i="1" s="1"/>
  <c r="J77" i="1"/>
  <c r="L77" i="1" s="1"/>
  <c r="J78" i="1"/>
  <c r="L78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L87" i="1" s="1"/>
  <c r="J88" i="1"/>
  <c r="L88" i="1" s="1"/>
  <c r="J89" i="1"/>
  <c r="L89" i="1" s="1"/>
  <c r="J90" i="1"/>
  <c r="L90" i="1" s="1"/>
  <c r="J91" i="1"/>
  <c r="L91" i="1" s="1"/>
  <c r="J92" i="1"/>
  <c r="L92" i="1" s="1"/>
  <c r="J93" i="1"/>
  <c r="L93" i="1" s="1"/>
  <c r="J94" i="1"/>
  <c r="L94" i="1" s="1"/>
  <c r="J95" i="1"/>
  <c r="L95" i="1" s="1"/>
  <c r="J96" i="1"/>
  <c r="L96" i="1" s="1"/>
  <c r="J97" i="1"/>
  <c r="L97" i="1" s="1"/>
  <c r="J98" i="1"/>
  <c r="L98" i="1" s="1"/>
  <c r="J99" i="1"/>
  <c r="L99" i="1" s="1"/>
  <c r="J100" i="1"/>
  <c r="L100" i="1" s="1"/>
  <c r="J101" i="1"/>
  <c r="L101" i="1" s="1"/>
  <c r="J102" i="1"/>
  <c r="L102" i="1" s="1"/>
  <c r="J103" i="1"/>
  <c r="L103" i="1" s="1"/>
  <c r="J104" i="1"/>
  <c r="L104" i="1" s="1"/>
  <c r="J105" i="1"/>
  <c r="L105" i="1" s="1"/>
  <c r="J106" i="1"/>
  <c r="L106" i="1" s="1"/>
  <c r="J107" i="1"/>
  <c r="L107" i="1" s="1"/>
  <c r="J108" i="1"/>
  <c r="L108" i="1" s="1"/>
  <c r="J109" i="1"/>
  <c r="L109" i="1" s="1"/>
  <c r="J110" i="1"/>
  <c r="L110" i="1" s="1"/>
  <c r="J111" i="1"/>
  <c r="L111" i="1" s="1"/>
  <c r="J112" i="1"/>
  <c r="L112" i="1" s="1"/>
  <c r="J113" i="1"/>
  <c r="L113" i="1" s="1"/>
  <c r="J114" i="1"/>
  <c r="L114" i="1" s="1"/>
  <c r="J115" i="1"/>
  <c r="L115" i="1" s="1"/>
  <c r="J116" i="1"/>
  <c r="L116" i="1" s="1"/>
  <c r="J117" i="1"/>
  <c r="L117" i="1" s="1"/>
  <c r="J118" i="1"/>
  <c r="L118" i="1" s="1"/>
  <c r="J119" i="1"/>
  <c r="L119" i="1" s="1"/>
  <c r="J120" i="1"/>
  <c r="L120" i="1" s="1"/>
  <c r="J121" i="1"/>
  <c r="L121" i="1" s="1"/>
  <c r="J122" i="1"/>
  <c r="L122" i="1" s="1"/>
  <c r="J123" i="1"/>
  <c r="L123" i="1" s="1"/>
  <c r="J124" i="1"/>
  <c r="L124" i="1" s="1"/>
  <c r="J125" i="1"/>
  <c r="L125" i="1" s="1"/>
  <c r="J126" i="1"/>
  <c r="L126" i="1" s="1"/>
  <c r="J127" i="1"/>
  <c r="L127" i="1" s="1"/>
  <c r="J128" i="1"/>
  <c r="L128" i="1" s="1"/>
  <c r="J129" i="1"/>
  <c r="L129" i="1" s="1"/>
  <c r="J130" i="1"/>
  <c r="L130" i="1" s="1"/>
  <c r="J131" i="1"/>
  <c r="L131" i="1" s="1"/>
  <c r="J132" i="1"/>
  <c r="L132" i="1" s="1"/>
  <c r="J133" i="1"/>
  <c r="L133" i="1" s="1"/>
  <c r="J134" i="1"/>
  <c r="L134" i="1" s="1"/>
  <c r="J135" i="1"/>
  <c r="L135" i="1" s="1"/>
  <c r="J136" i="1"/>
  <c r="L136" i="1" s="1"/>
  <c r="J137" i="1"/>
  <c r="L137" i="1" s="1"/>
  <c r="J138" i="1"/>
  <c r="L138" i="1" s="1"/>
  <c r="J139" i="1"/>
  <c r="L139" i="1" s="1"/>
  <c r="J140" i="1"/>
  <c r="L140" i="1" s="1"/>
  <c r="J141" i="1"/>
  <c r="L141" i="1" s="1"/>
  <c r="J142" i="1"/>
  <c r="L142" i="1" s="1"/>
  <c r="J143" i="1"/>
  <c r="L143" i="1" s="1"/>
  <c r="J144" i="1"/>
  <c r="L144" i="1" s="1"/>
  <c r="J145" i="1"/>
  <c r="L145" i="1" s="1"/>
  <c r="J146" i="1"/>
  <c r="L146" i="1" s="1"/>
  <c r="J147" i="1"/>
  <c r="L147" i="1" s="1"/>
  <c r="J148" i="1"/>
  <c r="L148" i="1" s="1"/>
  <c r="J149" i="1"/>
  <c r="L149" i="1" s="1"/>
  <c r="J150" i="1"/>
  <c r="L150" i="1" s="1"/>
  <c r="J151" i="1"/>
  <c r="L151" i="1" s="1"/>
  <c r="J152" i="1"/>
  <c r="L152" i="1" s="1"/>
  <c r="J153" i="1"/>
  <c r="L153" i="1" s="1"/>
  <c r="J154" i="1"/>
  <c r="L154" i="1" s="1"/>
  <c r="J155" i="1"/>
  <c r="L155" i="1" s="1"/>
  <c r="J156" i="1"/>
  <c r="L156" i="1" s="1"/>
  <c r="J157" i="1"/>
  <c r="L157" i="1" s="1"/>
  <c r="J158" i="1"/>
  <c r="L158" i="1" s="1"/>
  <c r="J159" i="1"/>
  <c r="L159" i="1" s="1"/>
  <c r="J160" i="1"/>
  <c r="L160" i="1" s="1"/>
  <c r="J161" i="1"/>
  <c r="L161" i="1" s="1"/>
  <c r="J162" i="1"/>
  <c r="L162" i="1" s="1"/>
  <c r="J163" i="1"/>
  <c r="L163" i="1" s="1"/>
  <c r="J164" i="1"/>
  <c r="L164" i="1" s="1"/>
  <c r="J165" i="1"/>
  <c r="L165" i="1" s="1"/>
  <c r="J166" i="1"/>
  <c r="L166" i="1" s="1"/>
  <c r="J167" i="1"/>
  <c r="L167" i="1" s="1"/>
  <c r="J168" i="1"/>
  <c r="L168" i="1" s="1"/>
  <c r="J169" i="1"/>
  <c r="L169" i="1" s="1"/>
  <c r="J170" i="1"/>
  <c r="L170" i="1" s="1"/>
  <c r="J171" i="1"/>
  <c r="L171" i="1" s="1"/>
  <c r="J172" i="1"/>
  <c r="L172" i="1" s="1"/>
  <c r="J173" i="1"/>
  <c r="L173" i="1" s="1"/>
  <c r="J174" i="1"/>
  <c r="L174" i="1" s="1"/>
  <c r="J175" i="1"/>
  <c r="L175" i="1" s="1"/>
  <c r="J176" i="1"/>
  <c r="L176" i="1" s="1"/>
  <c r="J177" i="1"/>
  <c r="L177" i="1" s="1"/>
  <c r="J178" i="1"/>
  <c r="L178" i="1" s="1"/>
  <c r="J179" i="1"/>
  <c r="L179" i="1" s="1"/>
  <c r="J180" i="1"/>
  <c r="L180" i="1" s="1"/>
  <c r="J181" i="1"/>
  <c r="L181" i="1" s="1"/>
  <c r="J182" i="1"/>
  <c r="L182" i="1" s="1"/>
  <c r="J183" i="1"/>
  <c r="L183" i="1" s="1"/>
  <c r="J184" i="1"/>
  <c r="L184" i="1" s="1"/>
  <c r="J185" i="1"/>
  <c r="L185" i="1" s="1"/>
  <c r="J186" i="1"/>
  <c r="L186" i="1" s="1"/>
  <c r="J187" i="1"/>
  <c r="L187" i="1" s="1"/>
  <c r="J188" i="1"/>
  <c r="L188" i="1" s="1"/>
  <c r="J189" i="1"/>
  <c r="L189" i="1" s="1"/>
  <c r="J190" i="1"/>
  <c r="L190" i="1" s="1"/>
  <c r="J191" i="1"/>
  <c r="L191" i="1" s="1"/>
  <c r="J192" i="1"/>
  <c r="L192" i="1" s="1"/>
  <c r="J193" i="1"/>
  <c r="L193" i="1" s="1"/>
  <c r="J194" i="1"/>
  <c r="L194" i="1" s="1"/>
  <c r="J195" i="1"/>
  <c r="L195" i="1" s="1"/>
  <c r="J196" i="1"/>
  <c r="L196" i="1" s="1"/>
  <c r="J197" i="1"/>
  <c r="L197" i="1" s="1"/>
  <c r="J198" i="1"/>
  <c r="L198" i="1" s="1"/>
  <c r="J199" i="1"/>
  <c r="L199" i="1" s="1"/>
  <c r="J200" i="1"/>
  <c r="L200" i="1" s="1"/>
  <c r="J201" i="1"/>
  <c r="L201" i="1" s="1"/>
  <c r="J202" i="1"/>
  <c r="L202" i="1" s="1"/>
  <c r="J203" i="1"/>
  <c r="L203" i="1" s="1"/>
  <c r="J204" i="1"/>
  <c r="L204" i="1" s="1"/>
  <c r="J205" i="1"/>
  <c r="L205" i="1" s="1"/>
  <c r="J206" i="1"/>
  <c r="L206" i="1" s="1"/>
  <c r="J207" i="1"/>
  <c r="L207" i="1" s="1"/>
  <c r="J208" i="1"/>
  <c r="L208" i="1" s="1"/>
  <c r="J209" i="1"/>
  <c r="L209" i="1" s="1"/>
  <c r="J210" i="1"/>
  <c r="L210" i="1" s="1"/>
  <c r="J211" i="1"/>
  <c r="L211" i="1" s="1"/>
  <c r="J212" i="1"/>
  <c r="L212" i="1" s="1"/>
  <c r="J213" i="1"/>
  <c r="L213" i="1" s="1"/>
  <c r="J214" i="1"/>
  <c r="L214" i="1" s="1"/>
  <c r="J215" i="1"/>
  <c r="L215" i="1" s="1"/>
  <c r="J216" i="1"/>
  <c r="L216" i="1" s="1"/>
  <c r="J217" i="1"/>
  <c r="L217" i="1" s="1"/>
  <c r="J218" i="1"/>
  <c r="L218" i="1" s="1"/>
  <c r="J219" i="1"/>
  <c r="L219" i="1" s="1"/>
  <c r="J220" i="1"/>
  <c r="L220" i="1" s="1"/>
  <c r="J221" i="1"/>
  <c r="L221" i="1" s="1"/>
  <c r="J222" i="1"/>
  <c r="L222" i="1" s="1"/>
  <c r="J223" i="1"/>
  <c r="L223" i="1" s="1"/>
  <c r="J224" i="1"/>
  <c r="L224" i="1" s="1"/>
  <c r="J225" i="1"/>
  <c r="L225" i="1" s="1"/>
  <c r="J226" i="1"/>
  <c r="L226" i="1" s="1"/>
  <c r="J227" i="1"/>
  <c r="L227" i="1" s="1"/>
  <c r="J228" i="1"/>
  <c r="L228" i="1" s="1"/>
  <c r="J229" i="1"/>
  <c r="L229" i="1" s="1"/>
  <c r="J230" i="1"/>
  <c r="L230" i="1" s="1"/>
  <c r="J231" i="1"/>
  <c r="L231" i="1" s="1"/>
  <c r="J232" i="1"/>
  <c r="L232" i="1" s="1"/>
  <c r="J233" i="1"/>
  <c r="L233" i="1" s="1"/>
  <c r="J234" i="1"/>
  <c r="L234" i="1" s="1"/>
  <c r="J235" i="1"/>
  <c r="L235" i="1" s="1"/>
  <c r="J236" i="1"/>
  <c r="L236" i="1" s="1"/>
  <c r="J237" i="1"/>
  <c r="L237" i="1" s="1"/>
  <c r="J238" i="1"/>
  <c r="L238" i="1" s="1"/>
  <c r="J239" i="1"/>
  <c r="L239" i="1" s="1"/>
  <c r="J240" i="1"/>
  <c r="L240" i="1" s="1"/>
  <c r="J241" i="1"/>
  <c r="L241" i="1" s="1"/>
  <c r="J242" i="1"/>
  <c r="L242" i="1" s="1"/>
  <c r="J243" i="1"/>
  <c r="L243" i="1" s="1"/>
  <c r="J244" i="1"/>
  <c r="L244" i="1" s="1"/>
  <c r="J245" i="1"/>
  <c r="L245" i="1" s="1"/>
  <c r="J246" i="1"/>
  <c r="L246" i="1" s="1"/>
  <c r="J247" i="1"/>
  <c r="L247" i="1" s="1"/>
  <c r="J248" i="1"/>
  <c r="L248" i="1" s="1"/>
  <c r="J249" i="1"/>
  <c r="L249" i="1" s="1"/>
  <c r="J250" i="1"/>
  <c r="L250" i="1" s="1"/>
  <c r="J251" i="1"/>
  <c r="L251" i="1" s="1"/>
  <c r="J252" i="1"/>
  <c r="L252" i="1" s="1"/>
  <c r="J253" i="1"/>
  <c r="L253" i="1" s="1"/>
  <c r="J254" i="1"/>
  <c r="L254" i="1" s="1"/>
  <c r="J255" i="1"/>
  <c r="L255" i="1" s="1"/>
  <c r="J256" i="1"/>
  <c r="L256" i="1" s="1"/>
  <c r="J257" i="1"/>
  <c r="L257" i="1" s="1"/>
  <c r="J258" i="1"/>
  <c r="L258" i="1" s="1"/>
  <c r="J259" i="1"/>
  <c r="L259" i="1" s="1"/>
  <c r="J260" i="1"/>
  <c r="L260" i="1" s="1"/>
  <c r="J261" i="1"/>
  <c r="L261" i="1" s="1"/>
  <c r="J262" i="1"/>
  <c r="L262" i="1" s="1"/>
  <c r="J263" i="1"/>
  <c r="L263" i="1" s="1"/>
  <c r="J264" i="1"/>
  <c r="L264" i="1" s="1"/>
  <c r="J265" i="1"/>
  <c r="L265" i="1" s="1"/>
  <c r="J266" i="1"/>
  <c r="L266" i="1" s="1"/>
  <c r="J267" i="1"/>
  <c r="L267" i="1" s="1"/>
  <c r="J268" i="1"/>
  <c r="L268" i="1" s="1"/>
  <c r="J269" i="1"/>
  <c r="L269" i="1" s="1"/>
  <c r="J270" i="1"/>
  <c r="L270" i="1" s="1"/>
  <c r="J271" i="1"/>
  <c r="L271" i="1" s="1"/>
  <c r="J272" i="1"/>
  <c r="L272" i="1" s="1"/>
  <c r="J273" i="1"/>
  <c r="L273" i="1" s="1"/>
  <c r="J274" i="1"/>
  <c r="L274" i="1" s="1"/>
  <c r="J275" i="1"/>
  <c r="L275" i="1" s="1"/>
  <c r="J276" i="1"/>
  <c r="L276" i="1" s="1"/>
  <c r="J277" i="1"/>
  <c r="L277" i="1" s="1"/>
  <c r="J278" i="1"/>
  <c r="L278" i="1" s="1"/>
  <c r="J279" i="1"/>
  <c r="L279" i="1" s="1"/>
  <c r="J280" i="1"/>
  <c r="L280" i="1" s="1"/>
  <c r="J281" i="1"/>
  <c r="L281" i="1" s="1"/>
  <c r="J282" i="1"/>
  <c r="L282" i="1" s="1"/>
  <c r="J283" i="1"/>
  <c r="L283" i="1" s="1"/>
  <c r="J284" i="1"/>
  <c r="L284" i="1" s="1"/>
  <c r="J285" i="1"/>
  <c r="L285" i="1" s="1"/>
  <c r="J286" i="1"/>
  <c r="L286" i="1" s="1"/>
  <c r="J287" i="1"/>
  <c r="L287" i="1" s="1"/>
  <c r="J288" i="1"/>
  <c r="L288" i="1" s="1"/>
  <c r="J289" i="1"/>
  <c r="L289" i="1" s="1"/>
  <c r="J290" i="1"/>
  <c r="L290" i="1" s="1"/>
  <c r="J291" i="1"/>
  <c r="L291" i="1" s="1"/>
  <c r="J292" i="1"/>
  <c r="L292" i="1" s="1"/>
  <c r="J293" i="1"/>
  <c r="L293" i="1" s="1"/>
  <c r="J294" i="1"/>
  <c r="L294" i="1" s="1"/>
  <c r="J295" i="1"/>
  <c r="L295" i="1" s="1"/>
  <c r="J296" i="1"/>
  <c r="L296" i="1" s="1"/>
  <c r="J297" i="1"/>
  <c r="L297" i="1" s="1"/>
  <c r="J298" i="1"/>
  <c r="L298" i="1" s="1"/>
  <c r="J299" i="1"/>
  <c r="L299" i="1" s="1"/>
  <c r="J300" i="1"/>
  <c r="L300" i="1" s="1"/>
  <c r="J301" i="1"/>
  <c r="L301" i="1" s="1"/>
  <c r="J302" i="1"/>
  <c r="L302" i="1" s="1"/>
  <c r="J303" i="1"/>
  <c r="L303" i="1" s="1"/>
  <c r="J304" i="1"/>
  <c r="L304" i="1" s="1"/>
  <c r="J305" i="1"/>
  <c r="L305" i="1" s="1"/>
  <c r="J306" i="1"/>
  <c r="L306" i="1" s="1"/>
  <c r="J307" i="1"/>
  <c r="L307" i="1" s="1"/>
  <c r="J308" i="1"/>
  <c r="L308" i="1" s="1"/>
  <c r="J309" i="1"/>
  <c r="L309" i="1" s="1"/>
  <c r="J310" i="1"/>
  <c r="L310" i="1" s="1"/>
  <c r="J311" i="1"/>
  <c r="L311" i="1" s="1"/>
  <c r="J312" i="1"/>
  <c r="L312" i="1" s="1"/>
  <c r="J313" i="1"/>
  <c r="L313" i="1" s="1"/>
  <c r="J314" i="1"/>
  <c r="L314" i="1" s="1"/>
  <c r="J315" i="1"/>
  <c r="L315" i="1" s="1"/>
  <c r="J316" i="1"/>
  <c r="L316" i="1" s="1"/>
  <c r="J317" i="1"/>
  <c r="L317" i="1" s="1"/>
  <c r="J318" i="1"/>
  <c r="L318" i="1" s="1"/>
  <c r="J319" i="1"/>
  <c r="L319" i="1" s="1"/>
  <c r="J320" i="1"/>
  <c r="L320" i="1" s="1"/>
  <c r="J321" i="1"/>
  <c r="L321" i="1" s="1"/>
  <c r="J322" i="1"/>
  <c r="L322" i="1" s="1"/>
  <c r="J323" i="1"/>
  <c r="L323" i="1" s="1"/>
  <c r="J324" i="1"/>
  <c r="L324" i="1" s="1"/>
  <c r="J325" i="1"/>
  <c r="L325" i="1" s="1"/>
  <c r="J326" i="1"/>
  <c r="L326" i="1" s="1"/>
  <c r="J327" i="1"/>
  <c r="L327" i="1" s="1"/>
  <c r="J328" i="1"/>
  <c r="L328" i="1" s="1"/>
  <c r="J329" i="1"/>
  <c r="L329" i="1" s="1"/>
  <c r="J330" i="1"/>
  <c r="L330" i="1" s="1"/>
  <c r="J331" i="1"/>
  <c r="L331" i="1" s="1"/>
  <c r="J332" i="1"/>
  <c r="L332" i="1" s="1"/>
  <c r="J333" i="1"/>
  <c r="L333" i="1" s="1"/>
  <c r="J334" i="1"/>
  <c r="L334" i="1" s="1"/>
  <c r="J335" i="1"/>
  <c r="L335" i="1" s="1"/>
  <c r="J336" i="1"/>
  <c r="L336" i="1" s="1"/>
  <c r="J337" i="1"/>
  <c r="L337" i="1" s="1"/>
  <c r="J338" i="1"/>
  <c r="L338" i="1" s="1"/>
  <c r="J339" i="1"/>
  <c r="L339" i="1" s="1"/>
  <c r="J340" i="1"/>
  <c r="L340" i="1" s="1"/>
  <c r="J341" i="1"/>
  <c r="L341" i="1" s="1"/>
  <c r="J342" i="1"/>
  <c r="L342" i="1" s="1"/>
  <c r="J343" i="1"/>
  <c r="L343" i="1" s="1"/>
  <c r="J344" i="1"/>
  <c r="L344" i="1" s="1"/>
  <c r="J345" i="1"/>
  <c r="L345" i="1" s="1"/>
  <c r="J346" i="1"/>
  <c r="L346" i="1" s="1"/>
  <c r="J347" i="1"/>
  <c r="L347" i="1" s="1"/>
  <c r="J348" i="1"/>
  <c r="L348" i="1" s="1"/>
  <c r="J349" i="1"/>
  <c r="L349" i="1" s="1"/>
  <c r="J350" i="1"/>
  <c r="L350" i="1" s="1"/>
  <c r="J351" i="1"/>
  <c r="L351" i="1" s="1"/>
  <c r="J352" i="1"/>
  <c r="L352" i="1" s="1"/>
  <c r="J353" i="1"/>
  <c r="L353" i="1" s="1"/>
  <c r="J354" i="1"/>
  <c r="L354" i="1" s="1"/>
  <c r="J355" i="1"/>
  <c r="L355" i="1" s="1"/>
  <c r="J356" i="1"/>
  <c r="L356" i="1" s="1"/>
  <c r="J357" i="1"/>
  <c r="L357" i="1" s="1"/>
  <c r="J358" i="1"/>
  <c r="L358" i="1" s="1"/>
  <c r="J359" i="1"/>
  <c r="L359" i="1" s="1"/>
  <c r="J360" i="1"/>
  <c r="L360" i="1" s="1"/>
  <c r="J361" i="1"/>
  <c r="L361" i="1" s="1"/>
  <c r="J362" i="1"/>
  <c r="L362" i="1" s="1"/>
  <c r="J363" i="1"/>
  <c r="L363" i="1" s="1"/>
  <c r="J364" i="1"/>
  <c r="L364" i="1" s="1"/>
  <c r="J365" i="1"/>
  <c r="L365" i="1" s="1"/>
  <c r="J366" i="1"/>
  <c r="L366" i="1" s="1"/>
  <c r="J367" i="1"/>
  <c r="L367" i="1" s="1"/>
  <c r="J368" i="1"/>
  <c r="L368" i="1" s="1"/>
  <c r="J369" i="1"/>
  <c r="L369" i="1" s="1"/>
  <c r="J370" i="1"/>
  <c r="L370" i="1" s="1"/>
  <c r="J371" i="1"/>
  <c r="L371" i="1" s="1"/>
  <c r="J372" i="1"/>
  <c r="L372" i="1" s="1"/>
  <c r="J373" i="1"/>
  <c r="L373" i="1" s="1"/>
  <c r="J374" i="1"/>
  <c r="L374" i="1" s="1"/>
  <c r="J375" i="1"/>
  <c r="L375" i="1" s="1"/>
  <c r="J376" i="1"/>
  <c r="L376" i="1" s="1"/>
  <c r="J377" i="1"/>
  <c r="L377" i="1" s="1"/>
  <c r="J378" i="1"/>
  <c r="L378" i="1" s="1"/>
  <c r="J379" i="1"/>
  <c r="L379" i="1" s="1"/>
  <c r="J380" i="1"/>
  <c r="L380" i="1" s="1"/>
  <c r="J381" i="1"/>
  <c r="L381" i="1" s="1"/>
  <c r="J382" i="1"/>
  <c r="L382" i="1" s="1"/>
  <c r="J383" i="1"/>
  <c r="L383" i="1" s="1"/>
  <c r="J384" i="1"/>
  <c r="L384" i="1" s="1"/>
  <c r="J385" i="1"/>
  <c r="L385" i="1" s="1"/>
  <c r="J386" i="1"/>
  <c r="L386" i="1" s="1"/>
  <c r="J387" i="1"/>
  <c r="L387" i="1" s="1"/>
  <c r="J388" i="1"/>
  <c r="L388" i="1" s="1"/>
  <c r="J389" i="1"/>
  <c r="L389" i="1" s="1"/>
  <c r="J390" i="1"/>
  <c r="L390" i="1" s="1"/>
  <c r="J391" i="1"/>
  <c r="L391" i="1" s="1"/>
  <c r="J392" i="1"/>
  <c r="L392" i="1" s="1"/>
  <c r="J393" i="1"/>
  <c r="L393" i="1" s="1"/>
  <c r="J394" i="1"/>
  <c r="L394" i="1" s="1"/>
  <c r="J395" i="1"/>
  <c r="L395" i="1" s="1"/>
  <c r="J396" i="1"/>
  <c r="L396" i="1" s="1"/>
  <c r="J397" i="1"/>
  <c r="L397" i="1" s="1"/>
  <c r="J398" i="1"/>
  <c r="L398" i="1" s="1"/>
  <c r="J399" i="1"/>
  <c r="L399" i="1" s="1"/>
  <c r="J400" i="1"/>
  <c r="L400" i="1" s="1"/>
  <c r="J401" i="1"/>
  <c r="L401" i="1" s="1"/>
  <c r="J402" i="1"/>
  <c r="L402" i="1" s="1"/>
  <c r="J403" i="1"/>
  <c r="L403" i="1" s="1"/>
  <c r="J404" i="1"/>
  <c r="L404" i="1" s="1"/>
  <c r="J405" i="1"/>
  <c r="L405" i="1" s="1"/>
  <c r="J406" i="1"/>
  <c r="L406" i="1" s="1"/>
  <c r="J407" i="1"/>
  <c r="L407" i="1" s="1"/>
  <c r="J408" i="1"/>
  <c r="L408" i="1" s="1"/>
  <c r="J409" i="1"/>
  <c r="L409" i="1" s="1"/>
  <c r="J410" i="1"/>
  <c r="L410" i="1" s="1"/>
  <c r="J411" i="1"/>
  <c r="L411" i="1" s="1"/>
  <c r="J412" i="1"/>
  <c r="L412" i="1" s="1"/>
  <c r="J413" i="1"/>
  <c r="L413" i="1" s="1"/>
  <c r="J414" i="1"/>
  <c r="L414" i="1" s="1"/>
  <c r="J415" i="1"/>
  <c r="L415" i="1" s="1"/>
  <c r="J416" i="1"/>
  <c r="L416" i="1" s="1"/>
  <c r="J417" i="1"/>
  <c r="L417" i="1" s="1"/>
  <c r="J418" i="1"/>
  <c r="L418" i="1" s="1"/>
  <c r="J419" i="1"/>
  <c r="L419" i="1" s="1"/>
  <c r="J420" i="1"/>
  <c r="L420" i="1" s="1"/>
  <c r="J421" i="1"/>
  <c r="L421" i="1" s="1"/>
  <c r="J422" i="1"/>
  <c r="L422" i="1" s="1"/>
  <c r="J423" i="1"/>
  <c r="L423" i="1" s="1"/>
  <c r="J424" i="1"/>
  <c r="L424" i="1" s="1"/>
  <c r="J425" i="1"/>
  <c r="L425" i="1" s="1"/>
  <c r="J426" i="1"/>
  <c r="L426" i="1" s="1"/>
  <c r="J427" i="1"/>
  <c r="L427" i="1" s="1"/>
  <c r="J428" i="1"/>
  <c r="L428" i="1" s="1"/>
  <c r="J429" i="1"/>
  <c r="L429" i="1" s="1"/>
  <c r="J430" i="1"/>
  <c r="L430" i="1" s="1"/>
  <c r="J431" i="1"/>
  <c r="L431" i="1" s="1"/>
  <c r="J432" i="1"/>
  <c r="L432" i="1" s="1"/>
  <c r="J433" i="1"/>
  <c r="L433" i="1" s="1"/>
  <c r="J434" i="1"/>
  <c r="L434" i="1" s="1"/>
  <c r="J435" i="1"/>
  <c r="L435" i="1" s="1"/>
  <c r="J436" i="1"/>
  <c r="L436" i="1" s="1"/>
  <c r="J437" i="1"/>
  <c r="L437" i="1" s="1"/>
  <c r="J438" i="1"/>
  <c r="L438" i="1" s="1"/>
  <c r="J439" i="1"/>
  <c r="L439" i="1" s="1"/>
  <c r="J440" i="1"/>
  <c r="L440" i="1" s="1"/>
  <c r="J441" i="1"/>
  <c r="L441" i="1" s="1"/>
  <c r="J442" i="1"/>
  <c r="L442" i="1" s="1"/>
  <c r="J443" i="1"/>
  <c r="L443" i="1" s="1"/>
  <c r="J444" i="1"/>
  <c r="L444" i="1" s="1"/>
  <c r="J445" i="1"/>
  <c r="L445" i="1" s="1"/>
  <c r="J446" i="1"/>
  <c r="L446" i="1" s="1"/>
  <c r="J447" i="1"/>
  <c r="L447" i="1" s="1"/>
  <c r="J448" i="1"/>
  <c r="L448" i="1" s="1"/>
  <c r="J449" i="1"/>
  <c r="L449" i="1" s="1"/>
  <c r="J2" i="1"/>
  <c r="L2" i="1" s="1"/>
</calcChain>
</file>

<file path=xl/sharedStrings.xml><?xml version="1.0" encoding="utf-8"?>
<sst xmlns="http://schemas.openxmlformats.org/spreadsheetml/2006/main" count="471" uniqueCount="28">
  <si>
    <t>Brand</t>
  </si>
  <si>
    <t>Quantity ( Grams)</t>
  </si>
  <si>
    <t>MRP</t>
  </si>
  <si>
    <t>Price</t>
  </si>
  <si>
    <t>Price/100 Grams</t>
  </si>
  <si>
    <t>Discount (%)</t>
  </si>
  <si>
    <t>Cluster</t>
  </si>
  <si>
    <t>Farmley</t>
  </si>
  <si>
    <t>Happilo</t>
  </si>
  <si>
    <t>Healthy Master</t>
  </si>
  <si>
    <t>The Whole Truth</t>
  </si>
  <si>
    <t>Yogabar</t>
  </si>
  <si>
    <t>projected_rating_count</t>
  </si>
  <si>
    <t>projected_rating_upper_limit</t>
  </si>
  <si>
    <t>Projected_ratings_lower_limit</t>
  </si>
  <si>
    <t>projected_revenue_UL</t>
  </si>
  <si>
    <t>projected_revenue_LL</t>
  </si>
  <si>
    <t>Projected_revenue</t>
  </si>
  <si>
    <t>Row Labels</t>
  </si>
  <si>
    <t>Grand Total</t>
  </si>
  <si>
    <t>Sum of projected_rating_count</t>
  </si>
  <si>
    <t>Average of Price</t>
  </si>
  <si>
    <t>Sum of Projected_revenue</t>
  </si>
  <si>
    <t>Average of Quantity ( Grams)</t>
  </si>
  <si>
    <t>Max of Quantity ( Grams)</t>
  </si>
  <si>
    <t>Min of Quantity ( Grams)</t>
  </si>
  <si>
    <t>Sum of Price</t>
  </si>
  <si>
    <t>Max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</si>
</sst>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wik Singh" refreshedDate="46177.489267824072" createdVersion="8" refreshedVersion="8" minRefreshableVersion="3" recordCount="448" xr:uid="{F995D243-7BBD-418D-A843-35979DD665D5}">
  <cacheSource type="worksheet">
    <worksheetSource ref="A1:M449" sheet="Main_Data"/>
  </cacheSource>
  <cacheFields count="13">
    <cacheField name="Brand" numFmtId="0">
      <sharedItems/>
    </cacheField>
    <cacheField name="Quantity ( Grams)" numFmtId="0">
      <sharedItems containsSemiMixedTypes="0" containsString="0" containsNumber="1" minValue="0.5" maxValue="2000"/>
    </cacheField>
    <cacheField name="MRP" numFmtId="0">
      <sharedItems containsSemiMixedTypes="0" containsString="0" containsNumber="1" containsInteger="1" minValue="30" maxValue="9299"/>
    </cacheField>
    <cacheField name="Price" numFmtId="0">
      <sharedItems containsSemiMixedTypes="0" containsString="0" containsNumber="1" containsInteger="1" minValue="18" maxValue="8819"/>
    </cacheField>
    <cacheField name="Price/100 Grams" numFmtId="2">
      <sharedItems containsSemiMixedTypes="0" containsString="0" containsNumber="1" minValue="15.8" maxValue="34400"/>
    </cacheField>
    <cacheField name="Discount (%)" numFmtId="0">
      <sharedItems containsSemiMixedTypes="0" containsString="0" containsNumber="1" containsInteger="1" minValue="0" maxValue="70"/>
    </cacheField>
    <cacheField name="Cluster" numFmtId="0">
      <sharedItems containsSemiMixedTypes="0" containsString="0" containsNumber="1" containsInteger="1" minValue="0" maxValue="3" count="4">
        <n v="2"/>
        <n v="0"/>
        <n v="1"/>
        <n v="3"/>
      </sharedItems>
    </cacheField>
    <cacheField name="projected_rating_count" numFmtId="0">
      <sharedItems containsSemiMixedTypes="0" containsString="0" containsNumber="1" containsInteger="1" minValue="0" maxValue="37524"/>
    </cacheField>
    <cacheField name="Projected_revenue" numFmtId="0">
      <sharedItems containsSemiMixedTypes="0" containsString="0" containsNumber="1" containsInteger="1" minValue="0" maxValue="17392974"/>
    </cacheField>
    <cacheField name="projected_rating_upper_limit" numFmtId="0">
      <sharedItems containsSemiMixedTypes="0" containsString="0" containsNumber="1" containsInteger="1" minValue="2318" maxValue="39842"/>
    </cacheField>
    <cacheField name="Projected_ratings_lower_limit" numFmtId="0">
      <sharedItems containsSemiMixedTypes="0" containsString="0" containsNumber="1" containsInteger="1" minValue="0" maxValue="35206"/>
    </cacheField>
    <cacheField name="projected_revenue_UL" numFmtId="0">
      <sharedItems containsSemiMixedTypes="0" containsString="0" containsNumber="1" containsInteger="1" minValue="183122" maxValue="3147518"/>
    </cacheField>
    <cacheField name="projected_revenue_LL" numFmtId="0">
      <sharedItems containsSemiMixedTypes="0" containsString="0" containsNumber="1" containsInteger="1" minValue="0" maxValue="27812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8">
  <r>
    <s v="Happilo"/>
    <n v="500"/>
    <n v="265"/>
    <n v="79"/>
    <n v="15.8"/>
    <n v="70"/>
    <x v="0"/>
    <n v="21235"/>
    <n v="1677565"/>
    <n v="23553"/>
    <n v="18917"/>
    <n v="1860687"/>
    <n v="1494443"/>
  </r>
  <r>
    <s v="Happilo"/>
    <n v="500"/>
    <n v="225"/>
    <n v="110"/>
    <n v="22"/>
    <n v="51"/>
    <x v="0"/>
    <n v="4369"/>
    <n v="480590"/>
    <n v="6687"/>
    <n v="2051"/>
    <n v="528273"/>
    <n v="162029"/>
  </r>
  <r>
    <s v="Happilo"/>
    <n v="250"/>
    <n v="125"/>
    <n v="59"/>
    <n v="23.6"/>
    <n v="52"/>
    <x v="0"/>
    <n v="2095"/>
    <n v="123605"/>
    <n v="4413"/>
    <n v="0"/>
    <n v="348627"/>
    <n v="0"/>
  </r>
  <r>
    <s v="Happilo"/>
    <n v="250"/>
    <n v="125"/>
    <n v="59"/>
    <n v="23.6"/>
    <n v="52"/>
    <x v="0"/>
    <n v="2095"/>
    <n v="123605"/>
    <n v="4413"/>
    <n v="0"/>
    <n v="348627"/>
    <n v="0"/>
  </r>
  <r>
    <s v="Happilo"/>
    <n v="250"/>
    <n v="125"/>
    <n v="61"/>
    <n v="24.4"/>
    <n v="51"/>
    <x v="0"/>
    <n v="3009"/>
    <n v="183549"/>
    <n v="5327"/>
    <n v="691"/>
    <n v="420833"/>
    <n v="54589"/>
  </r>
  <r>
    <s v="Farmley"/>
    <n v="1000"/>
    <n v="650"/>
    <n v="249"/>
    <n v="24.9"/>
    <n v="62"/>
    <x v="1"/>
    <n v="21682"/>
    <n v="5398818"/>
    <n v="24000"/>
    <n v="19364"/>
    <n v="1896000"/>
    <n v="1529756"/>
  </r>
  <r>
    <s v="Happilo"/>
    <n v="500"/>
    <n v="175"/>
    <n v="130"/>
    <n v="26"/>
    <n v="26"/>
    <x v="0"/>
    <n v="2839"/>
    <n v="369070"/>
    <n v="5157"/>
    <n v="521"/>
    <n v="407403"/>
    <n v="41159"/>
  </r>
  <r>
    <s v="Farmley"/>
    <n v="200"/>
    <n v="99"/>
    <n v="55"/>
    <n v="27.5"/>
    <n v="44"/>
    <x v="0"/>
    <n v="3508"/>
    <n v="192940"/>
    <n v="5826"/>
    <n v="1190"/>
    <n v="460254"/>
    <n v="94010"/>
  </r>
  <r>
    <s v="Farmley"/>
    <n v="200"/>
    <n v="99"/>
    <n v="55"/>
    <n v="27.5"/>
    <n v="44"/>
    <x v="0"/>
    <n v="3508"/>
    <n v="192940"/>
    <n v="5826"/>
    <n v="1190"/>
    <n v="460254"/>
    <n v="94010"/>
  </r>
  <r>
    <s v="Farmley"/>
    <n v="1000"/>
    <n v="600"/>
    <n v="293"/>
    <n v="29.3"/>
    <n v="51"/>
    <x v="1"/>
    <n v="2433"/>
    <n v="712869"/>
    <n v="4751"/>
    <n v="115"/>
    <n v="375329"/>
    <n v="9085"/>
  </r>
  <r>
    <s v="Farmley"/>
    <n v="500"/>
    <n v="300"/>
    <n v="149"/>
    <n v="29.8"/>
    <n v="50"/>
    <x v="0"/>
    <n v="1809"/>
    <n v="269541"/>
    <n v="4127"/>
    <n v="0"/>
    <n v="326033"/>
    <n v="0"/>
  </r>
  <r>
    <s v="Yogabar"/>
    <n v="1000"/>
    <n v="490"/>
    <n v="298"/>
    <n v="29.8"/>
    <n v="39"/>
    <x v="1"/>
    <n v="2548"/>
    <n v="759304"/>
    <n v="4866"/>
    <n v="230"/>
    <n v="384414"/>
    <n v="18170"/>
  </r>
  <r>
    <s v="Yogabar"/>
    <n v="1000"/>
    <n v="490"/>
    <n v="298"/>
    <n v="29.8"/>
    <n v="39"/>
    <x v="1"/>
    <n v="2548"/>
    <n v="759304"/>
    <n v="4866"/>
    <n v="230"/>
    <n v="384414"/>
    <n v="18170"/>
  </r>
  <r>
    <s v="Happilo"/>
    <n v="250"/>
    <n v="99"/>
    <n v="85"/>
    <n v="34"/>
    <n v="14"/>
    <x v="0"/>
    <n v="926"/>
    <n v="78710"/>
    <n v="3244"/>
    <n v="0"/>
    <n v="256276"/>
    <n v="0"/>
  </r>
  <r>
    <s v="Farmley"/>
    <n v="400"/>
    <n v="198"/>
    <n v="137"/>
    <n v="34.25"/>
    <n v="31"/>
    <x v="0"/>
    <n v="5791"/>
    <n v="793367"/>
    <n v="8109"/>
    <n v="3473"/>
    <n v="640611"/>
    <n v="274367"/>
  </r>
  <r>
    <s v="Farmley"/>
    <n v="200"/>
    <n v="99"/>
    <n v="69"/>
    <n v="34.5"/>
    <n v="30"/>
    <x v="0"/>
    <n v="4570"/>
    <n v="315330"/>
    <n v="6888"/>
    <n v="2252"/>
    <n v="544152"/>
    <n v="177908"/>
  </r>
  <r>
    <s v="Yogabar"/>
    <n v="700"/>
    <n v="445"/>
    <n v="249"/>
    <n v="35.571428571428569"/>
    <n v="44"/>
    <x v="1"/>
    <n v="3318"/>
    <n v="826182"/>
    <n v="5636"/>
    <n v="1000"/>
    <n v="445244"/>
    <n v="79000"/>
  </r>
  <r>
    <s v="Yogabar"/>
    <n v="700"/>
    <n v="445"/>
    <n v="249"/>
    <n v="35.571428571428569"/>
    <n v="44"/>
    <x v="1"/>
    <n v="3318"/>
    <n v="826182"/>
    <n v="5636"/>
    <n v="1000"/>
    <n v="445244"/>
    <n v="79000"/>
  </r>
  <r>
    <s v="Farmley"/>
    <n v="250"/>
    <n v="189"/>
    <n v="93"/>
    <n v="37.200000000000003"/>
    <n v="51"/>
    <x v="0"/>
    <n v="3870"/>
    <n v="359910"/>
    <n v="6188"/>
    <n v="1552"/>
    <n v="488852"/>
    <n v="122608"/>
  </r>
  <r>
    <s v="Farmley"/>
    <n v="250"/>
    <n v="189"/>
    <n v="93"/>
    <n v="37.200000000000003"/>
    <n v="51"/>
    <x v="0"/>
    <n v="3870"/>
    <n v="359910"/>
    <n v="6188"/>
    <n v="1552"/>
    <n v="488852"/>
    <n v="122608"/>
  </r>
  <r>
    <s v="Yogabar"/>
    <n v="250"/>
    <n v="131"/>
    <n v="98"/>
    <n v="39.200000000000003"/>
    <n v="25"/>
    <x v="0"/>
    <n v="765"/>
    <n v="74970"/>
    <n v="3083"/>
    <n v="0"/>
    <n v="243557"/>
    <n v="0"/>
  </r>
  <r>
    <s v="Yogabar"/>
    <n v="250"/>
    <n v="131"/>
    <n v="98"/>
    <n v="39.200000000000003"/>
    <n v="25"/>
    <x v="0"/>
    <n v="765"/>
    <n v="74970"/>
    <n v="3083"/>
    <n v="0"/>
    <n v="243557"/>
    <n v="0"/>
  </r>
  <r>
    <s v="Happilo"/>
    <n v="500"/>
    <n v="395"/>
    <n v="221"/>
    <n v="44.2"/>
    <n v="44"/>
    <x v="0"/>
    <n v="3256"/>
    <n v="719576"/>
    <n v="5574"/>
    <n v="938"/>
    <n v="440346"/>
    <n v="74102"/>
  </r>
  <r>
    <s v="Farmley"/>
    <n v="200"/>
    <n v="189"/>
    <n v="93"/>
    <n v="46.5"/>
    <n v="51"/>
    <x v="0"/>
    <n v="3870"/>
    <n v="359910"/>
    <n v="6188"/>
    <n v="1552"/>
    <n v="488852"/>
    <n v="122608"/>
  </r>
  <r>
    <s v="Farmley"/>
    <n v="200"/>
    <n v="189"/>
    <n v="93"/>
    <n v="46.5"/>
    <n v="51"/>
    <x v="0"/>
    <n v="3870"/>
    <n v="359910"/>
    <n v="6188"/>
    <n v="1552"/>
    <n v="488852"/>
    <n v="122608"/>
  </r>
  <r>
    <s v="Happilo"/>
    <n v="500"/>
    <n v="425"/>
    <n v="237"/>
    <n v="47.4"/>
    <n v="44"/>
    <x v="0"/>
    <n v="3318"/>
    <n v="786366"/>
    <n v="5636"/>
    <n v="1000"/>
    <n v="445244"/>
    <n v="79000"/>
  </r>
  <r>
    <s v="Happilo"/>
    <n v="500"/>
    <n v="549"/>
    <n v="252"/>
    <n v="50.4"/>
    <n v="54"/>
    <x v="0"/>
    <n v="3677"/>
    <n v="926604"/>
    <n v="5995"/>
    <n v="1359"/>
    <n v="473605"/>
    <n v="107361"/>
  </r>
  <r>
    <s v="Farmley"/>
    <n v="500"/>
    <n v="298"/>
    <n v="256"/>
    <n v="51.2"/>
    <n v="14"/>
    <x v="0"/>
    <n v="634"/>
    <n v="162304"/>
    <n v="2952"/>
    <n v="0"/>
    <n v="233208"/>
    <n v="0"/>
  </r>
  <r>
    <s v="Farmley"/>
    <n v="250"/>
    <n v="149"/>
    <n v="129"/>
    <n v="51.6"/>
    <n v="13"/>
    <x v="0"/>
    <n v="862"/>
    <n v="111198"/>
    <n v="3180"/>
    <n v="0"/>
    <n v="251220"/>
    <n v="0"/>
  </r>
  <r>
    <s v="Farmley"/>
    <n v="250"/>
    <n v="299"/>
    <n v="130"/>
    <n v="52"/>
    <n v="57"/>
    <x v="0"/>
    <n v="21892"/>
    <n v="2845960"/>
    <n v="24210"/>
    <n v="19574"/>
    <n v="1912590"/>
    <n v="1546346"/>
  </r>
  <r>
    <s v="Farmley"/>
    <n v="250"/>
    <n v="299"/>
    <n v="130"/>
    <n v="52"/>
    <n v="57"/>
    <x v="0"/>
    <n v="21892"/>
    <n v="2845960"/>
    <n v="24210"/>
    <n v="19574"/>
    <n v="1912590"/>
    <n v="1546346"/>
  </r>
  <r>
    <s v="Farmley"/>
    <n v="33"/>
    <n v="30"/>
    <n v="18"/>
    <n v="54.54545454545454"/>
    <n v="40"/>
    <x v="0"/>
    <n v="13693"/>
    <n v="246474"/>
    <n v="16011"/>
    <n v="11375"/>
    <n v="1264869"/>
    <n v="898625"/>
  </r>
  <r>
    <s v="Farmley"/>
    <n v="33"/>
    <n v="30"/>
    <n v="18"/>
    <n v="54.54545454545454"/>
    <n v="40"/>
    <x v="0"/>
    <n v="13693"/>
    <n v="246474"/>
    <n v="16011"/>
    <n v="11375"/>
    <n v="1264869"/>
    <n v="898625"/>
  </r>
  <r>
    <s v="Farmley"/>
    <n v="1000"/>
    <n v="1199"/>
    <n v="559"/>
    <n v="55.900000000000013"/>
    <n v="53"/>
    <x v="1"/>
    <n v="604"/>
    <n v="337636"/>
    <n v="2922"/>
    <n v="0"/>
    <n v="230838"/>
    <n v="0"/>
  </r>
  <r>
    <s v="Farmley"/>
    <n v="400"/>
    <n v="458"/>
    <n v="225"/>
    <n v="56.25"/>
    <n v="51"/>
    <x v="0"/>
    <n v="2983"/>
    <n v="671175"/>
    <n v="5301"/>
    <n v="665"/>
    <n v="418779"/>
    <n v="52535"/>
  </r>
  <r>
    <s v="Farmley"/>
    <n v="500"/>
    <n v="599"/>
    <n v="293"/>
    <n v="58.599999999999987"/>
    <n v="51"/>
    <x v="0"/>
    <n v="2644"/>
    <n v="774692"/>
    <n v="4962"/>
    <n v="326"/>
    <n v="391998"/>
    <n v="25754"/>
  </r>
  <r>
    <s v="Farmley"/>
    <n v="500"/>
    <n v="599"/>
    <n v="293"/>
    <n v="58.599999999999987"/>
    <n v="51"/>
    <x v="0"/>
    <n v="2644"/>
    <n v="774692"/>
    <n v="4962"/>
    <n v="326"/>
    <n v="391998"/>
    <n v="25754"/>
  </r>
  <r>
    <s v="Farmley"/>
    <n v="600"/>
    <n v="798"/>
    <n v="356"/>
    <n v="59.333333333333343"/>
    <n v="55"/>
    <x v="1"/>
    <n v="1395"/>
    <n v="496620"/>
    <n v="3713"/>
    <n v="0"/>
    <n v="293327"/>
    <n v="0"/>
  </r>
  <r>
    <s v="Farmley"/>
    <n v="200"/>
    <n v="229"/>
    <n v="119"/>
    <n v="59.5"/>
    <n v="48"/>
    <x v="0"/>
    <n v="3984"/>
    <n v="474096"/>
    <n v="6302"/>
    <n v="1666"/>
    <n v="497858"/>
    <n v="131614"/>
  </r>
  <r>
    <s v="Happilo"/>
    <n v="250"/>
    <n v="225"/>
    <n v="149"/>
    <n v="59.599999999999987"/>
    <n v="34"/>
    <x v="0"/>
    <n v="5250"/>
    <n v="782250"/>
    <n v="7568"/>
    <n v="2932"/>
    <n v="597872"/>
    <n v="231628"/>
  </r>
  <r>
    <s v="Farmley"/>
    <n v="300"/>
    <n v="399"/>
    <n v="179"/>
    <n v="59.666666666666671"/>
    <n v="55"/>
    <x v="0"/>
    <n v="2223"/>
    <n v="397917"/>
    <n v="4541"/>
    <n v="0"/>
    <n v="358739"/>
    <n v="0"/>
  </r>
  <r>
    <s v="Happilo"/>
    <n v="250"/>
    <n v="240"/>
    <n v="150"/>
    <n v="60"/>
    <n v="38"/>
    <x v="0"/>
    <n v="5216"/>
    <n v="782400"/>
    <n v="7534"/>
    <n v="2898"/>
    <n v="595186"/>
    <n v="228942"/>
  </r>
  <r>
    <s v="Yogabar"/>
    <n v="250"/>
    <n v="200"/>
    <n v="150"/>
    <n v="60"/>
    <n v="25"/>
    <x v="0"/>
    <n v="1920"/>
    <n v="288000"/>
    <n v="4238"/>
    <n v="0"/>
    <n v="334802"/>
    <n v="0"/>
  </r>
  <r>
    <s v="Yogabar"/>
    <n v="250"/>
    <n v="200"/>
    <n v="150"/>
    <n v="60"/>
    <n v="25"/>
    <x v="0"/>
    <n v="1920"/>
    <n v="288000"/>
    <n v="4238"/>
    <n v="0"/>
    <n v="334802"/>
    <n v="0"/>
  </r>
  <r>
    <s v="Farmley"/>
    <n v="33"/>
    <n v="30"/>
    <n v="20"/>
    <n v="60.606060606060609"/>
    <n v="33"/>
    <x v="0"/>
    <n v="13693"/>
    <n v="273860"/>
    <n v="16011"/>
    <n v="11375"/>
    <n v="1264869"/>
    <n v="898625"/>
  </r>
  <r>
    <s v="Farmley"/>
    <n v="33"/>
    <n v="30"/>
    <n v="20"/>
    <n v="60.606060606060609"/>
    <n v="33"/>
    <x v="0"/>
    <n v="13693"/>
    <n v="273860"/>
    <n v="16011"/>
    <n v="11375"/>
    <n v="1264869"/>
    <n v="898625"/>
  </r>
  <r>
    <s v="Farmley"/>
    <n v="400"/>
    <n v="325"/>
    <n v="249"/>
    <n v="62.250000000000007"/>
    <n v="23"/>
    <x v="0"/>
    <n v="2016"/>
    <n v="501984"/>
    <n v="4334"/>
    <n v="0"/>
    <n v="342386"/>
    <n v="0"/>
  </r>
  <r>
    <s v="Happilo"/>
    <n v="500"/>
    <n v="450"/>
    <n v="315"/>
    <n v="63"/>
    <n v="30"/>
    <x v="1"/>
    <n v="6928"/>
    <n v="2182320"/>
    <n v="9246"/>
    <n v="4610"/>
    <n v="730434"/>
    <n v="364190"/>
  </r>
  <r>
    <s v="Happilo"/>
    <n v="500"/>
    <n v="450"/>
    <n v="315"/>
    <n v="63"/>
    <n v="30"/>
    <x v="1"/>
    <n v="6928"/>
    <n v="2182320"/>
    <n v="9246"/>
    <n v="4610"/>
    <n v="730434"/>
    <n v="364190"/>
  </r>
  <r>
    <s v="Farmley"/>
    <n v="400"/>
    <n v="318"/>
    <n v="256"/>
    <n v="64"/>
    <n v="19"/>
    <x v="0"/>
    <n v="2810"/>
    <n v="719360"/>
    <n v="5128"/>
    <n v="492"/>
    <n v="405112"/>
    <n v="38868"/>
  </r>
  <r>
    <s v="Happilo"/>
    <n v="250"/>
    <n v="225"/>
    <n v="161"/>
    <n v="64.400000000000006"/>
    <n v="28"/>
    <x v="0"/>
    <n v="5516"/>
    <n v="888076"/>
    <n v="7834"/>
    <n v="3198"/>
    <n v="618886"/>
    <n v="252642"/>
  </r>
  <r>
    <s v="Happilo"/>
    <n v="250"/>
    <n v="225"/>
    <n v="161"/>
    <n v="64.400000000000006"/>
    <n v="28"/>
    <x v="0"/>
    <n v="5516"/>
    <n v="888076"/>
    <n v="7834"/>
    <n v="3198"/>
    <n v="618886"/>
    <n v="252642"/>
  </r>
  <r>
    <s v="Farmley"/>
    <n v="200"/>
    <n v="159"/>
    <n v="129"/>
    <n v="64.5"/>
    <n v="19"/>
    <x v="0"/>
    <n v="2495"/>
    <n v="321855"/>
    <n v="4813"/>
    <n v="177"/>
    <n v="380227"/>
    <n v="13983"/>
  </r>
  <r>
    <s v="Happilo"/>
    <n v="160"/>
    <n v="150"/>
    <n v="104"/>
    <n v="65"/>
    <n v="31"/>
    <x v="0"/>
    <n v="4282"/>
    <n v="445328"/>
    <n v="6600"/>
    <n v="1964"/>
    <n v="521400"/>
    <n v="155156"/>
  </r>
  <r>
    <s v="Farmley"/>
    <n v="200"/>
    <n v="299"/>
    <n v="130"/>
    <n v="65"/>
    <n v="57"/>
    <x v="0"/>
    <n v="21892"/>
    <n v="2845960"/>
    <n v="24210"/>
    <n v="19574"/>
    <n v="1912590"/>
    <n v="1546346"/>
  </r>
  <r>
    <s v="Farmley"/>
    <n v="200"/>
    <n v="299"/>
    <n v="130"/>
    <n v="65"/>
    <n v="57"/>
    <x v="0"/>
    <n v="21892"/>
    <n v="2845960"/>
    <n v="24210"/>
    <n v="19574"/>
    <n v="1912590"/>
    <n v="1546346"/>
  </r>
  <r>
    <s v="Happilo"/>
    <n v="200"/>
    <n v="199"/>
    <n v="131"/>
    <n v="65.5"/>
    <n v="34"/>
    <x v="0"/>
    <n v="4893"/>
    <n v="640983"/>
    <n v="7211"/>
    <n v="2575"/>
    <n v="569669"/>
    <n v="203425"/>
  </r>
  <r>
    <s v="Happilo"/>
    <n v="160"/>
    <n v="150"/>
    <n v="105"/>
    <n v="65.625"/>
    <n v="30"/>
    <x v="0"/>
    <n v="4282"/>
    <n v="449610"/>
    <n v="6600"/>
    <n v="1964"/>
    <n v="521400"/>
    <n v="155156"/>
  </r>
  <r>
    <s v="The Whole Truth"/>
    <n v="325"/>
    <n v="235"/>
    <n v="221"/>
    <n v="68"/>
    <n v="5"/>
    <x v="0"/>
    <n v="1259"/>
    <n v="278239"/>
    <n v="3577"/>
    <n v="0"/>
    <n v="282583"/>
    <n v="0"/>
  </r>
  <r>
    <s v="The Whole Truth"/>
    <n v="325"/>
    <n v="235"/>
    <n v="221"/>
    <n v="68"/>
    <n v="5"/>
    <x v="0"/>
    <n v="1259"/>
    <n v="278239"/>
    <n v="3577"/>
    <n v="0"/>
    <n v="282583"/>
    <n v="0"/>
  </r>
  <r>
    <s v="Happilo"/>
    <n v="500"/>
    <n v="450"/>
    <n v="352"/>
    <n v="70.399999999999991"/>
    <n v="22"/>
    <x v="1"/>
    <n v="2312"/>
    <n v="813824"/>
    <n v="4630"/>
    <n v="0"/>
    <n v="365770"/>
    <n v="0"/>
  </r>
  <r>
    <s v="Yogabar"/>
    <n v="250"/>
    <n v="260"/>
    <n v="180"/>
    <n v="72"/>
    <n v="30"/>
    <x v="0"/>
    <n v="1162"/>
    <n v="209160"/>
    <n v="3480"/>
    <n v="0"/>
    <n v="274920"/>
    <n v="0"/>
  </r>
  <r>
    <s v="Yogabar"/>
    <n v="250"/>
    <n v="260"/>
    <n v="180"/>
    <n v="72"/>
    <n v="30"/>
    <x v="0"/>
    <n v="1162"/>
    <n v="209160"/>
    <n v="3480"/>
    <n v="0"/>
    <n v="274920"/>
    <n v="0"/>
  </r>
  <r>
    <s v="Happilo"/>
    <n v="1000"/>
    <n v="1095"/>
    <n v="745"/>
    <n v="74.5"/>
    <n v="32"/>
    <x v="1"/>
    <n v="4506"/>
    <n v="3356970"/>
    <n v="6824"/>
    <n v="2188"/>
    <n v="539096"/>
    <n v="172852"/>
  </r>
  <r>
    <s v="Yogabar"/>
    <n v="350"/>
    <n v="350"/>
    <n v="262"/>
    <n v="74.857142857142861"/>
    <n v="25"/>
    <x v="0"/>
    <n v="321"/>
    <n v="84102"/>
    <n v="2639"/>
    <n v="0"/>
    <n v="208481"/>
    <n v="0"/>
  </r>
  <r>
    <s v="Yogabar"/>
    <n v="350"/>
    <n v="350"/>
    <n v="262"/>
    <n v="74.857142857142861"/>
    <n v="25"/>
    <x v="0"/>
    <n v="321"/>
    <n v="84102"/>
    <n v="2639"/>
    <n v="0"/>
    <n v="208481"/>
    <n v="0"/>
  </r>
  <r>
    <s v="Farmley"/>
    <n v="400"/>
    <n v="490"/>
    <n v="302"/>
    <n v="75.5"/>
    <n v="38"/>
    <x v="0"/>
    <n v="4698"/>
    <n v="1418796"/>
    <n v="7016"/>
    <n v="2380"/>
    <n v="554264"/>
    <n v="188020"/>
  </r>
  <r>
    <s v="Farmley"/>
    <n v="33"/>
    <n v="30"/>
    <n v="25"/>
    <n v="75.757575757575751"/>
    <n v="17"/>
    <x v="0"/>
    <n v="10003"/>
    <n v="250075"/>
    <n v="12321"/>
    <n v="7685"/>
    <n v="973359"/>
    <n v="607115"/>
  </r>
  <r>
    <s v="Farmley"/>
    <n v="33"/>
    <n v="30"/>
    <n v="25"/>
    <n v="75.757575757575751"/>
    <n v="17"/>
    <x v="0"/>
    <n v="10003"/>
    <n v="250075"/>
    <n v="12321"/>
    <n v="7685"/>
    <n v="973359"/>
    <n v="607115"/>
  </r>
  <r>
    <s v="Farmley"/>
    <n v="200"/>
    <n v="245"/>
    <n v="153"/>
    <n v="76.5"/>
    <n v="38"/>
    <x v="0"/>
    <n v="5216"/>
    <n v="798048"/>
    <n v="7534"/>
    <n v="2898"/>
    <n v="595186"/>
    <n v="228942"/>
  </r>
  <r>
    <s v="Farmley"/>
    <n v="400"/>
    <n v="798"/>
    <n v="311"/>
    <n v="77.75"/>
    <n v="61"/>
    <x v="0"/>
    <n v="21685"/>
    <n v="6744035"/>
    <n v="24003"/>
    <n v="19367"/>
    <n v="1896237"/>
    <n v="1529993"/>
  </r>
  <r>
    <s v="Farmley"/>
    <n v="400"/>
    <n v="500"/>
    <n v="315"/>
    <n v="78.75"/>
    <n v="37"/>
    <x v="0"/>
    <n v="4698"/>
    <n v="1479870"/>
    <n v="7016"/>
    <n v="2380"/>
    <n v="554264"/>
    <n v="188020"/>
  </r>
  <r>
    <s v="Farmley"/>
    <n v="99"/>
    <n v="90"/>
    <n v="78"/>
    <n v="78.787878787878782"/>
    <n v="13"/>
    <x v="0"/>
    <n v="1395"/>
    <n v="108810"/>
    <n v="3713"/>
    <n v="0"/>
    <n v="293327"/>
    <n v="0"/>
  </r>
  <r>
    <s v="Farmley"/>
    <n v="99"/>
    <n v="90"/>
    <n v="78"/>
    <n v="78.787878787878782"/>
    <n v="13"/>
    <x v="0"/>
    <n v="1395"/>
    <n v="108810"/>
    <n v="3713"/>
    <n v="0"/>
    <n v="293327"/>
    <n v="0"/>
  </r>
  <r>
    <s v="Happilo"/>
    <n v="900"/>
    <n v="1650"/>
    <n v="711"/>
    <n v="79"/>
    <n v="57"/>
    <x v="1"/>
    <n v="21624"/>
    <n v="15374664"/>
    <n v="23942"/>
    <n v="19306"/>
    <n v="1891418"/>
    <n v="1525174"/>
  </r>
  <r>
    <s v="Farmley"/>
    <n v="200"/>
    <n v="399"/>
    <n v="159"/>
    <n v="79.5"/>
    <n v="60"/>
    <x v="0"/>
    <n v="21304"/>
    <n v="3387336"/>
    <n v="23622"/>
    <n v="18986"/>
    <n v="1866138"/>
    <n v="1499894"/>
  </r>
  <r>
    <s v="Farmley"/>
    <n v="200"/>
    <n v="250"/>
    <n v="159"/>
    <n v="79.5"/>
    <n v="36"/>
    <x v="0"/>
    <n v="5216"/>
    <n v="829344"/>
    <n v="7534"/>
    <n v="2898"/>
    <n v="595186"/>
    <n v="228942"/>
  </r>
  <r>
    <s v="Happilo"/>
    <n v="200"/>
    <n v="245"/>
    <n v="159"/>
    <n v="79.5"/>
    <n v="35"/>
    <x v="0"/>
    <n v="5158"/>
    <n v="820122"/>
    <n v="7476"/>
    <n v="2840"/>
    <n v="590604"/>
    <n v="224360"/>
  </r>
  <r>
    <s v="Happilo"/>
    <n v="250"/>
    <n v="315"/>
    <n v="200"/>
    <n v="80"/>
    <n v="37"/>
    <x v="0"/>
    <n v="2082"/>
    <n v="416400"/>
    <n v="4400"/>
    <n v="0"/>
    <n v="347600"/>
    <n v="0"/>
  </r>
  <r>
    <s v="Farmley"/>
    <n v="66"/>
    <n v="60"/>
    <n v="53"/>
    <n v="80.303030303030297"/>
    <n v="12"/>
    <x v="0"/>
    <n v="13264"/>
    <n v="702992"/>
    <n v="15582"/>
    <n v="10946"/>
    <n v="1230978"/>
    <n v="864734"/>
  </r>
  <r>
    <s v="Farmley"/>
    <n v="66"/>
    <n v="60"/>
    <n v="53"/>
    <n v="80.303030303030297"/>
    <n v="12"/>
    <x v="0"/>
    <n v="13264"/>
    <n v="702992"/>
    <n v="15582"/>
    <n v="10946"/>
    <n v="1230978"/>
    <n v="864734"/>
  </r>
  <r>
    <s v="Farmley"/>
    <n v="66"/>
    <n v="60"/>
    <n v="53"/>
    <n v="80.303030303030297"/>
    <n v="12"/>
    <x v="0"/>
    <n v="13264"/>
    <n v="702992"/>
    <n v="15582"/>
    <n v="10946"/>
    <n v="1230978"/>
    <n v="864734"/>
  </r>
  <r>
    <s v="Farmley"/>
    <n v="66"/>
    <n v="60"/>
    <n v="53"/>
    <n v="80.303030303030297"/>
    <n v="12"/>
    <x v="0"/>
    <n v="13264"/>
    <n v="702992"/>
    <n v="15582"/>
    <n v="10946"/>
    <n v="1230978"/>
    <n v="864734"/>
  </r>
  <r>
    <s v="Happilo"/>
    <n v="405"/>
    <n v="599"/>
    <n v="339"/>
    <n v="83.703703703703695"/>
    <n v="43"/>
    <x v="0"/>
    <n v="2750"/>
    <n v="932250"/>
    <n v="5068"/>
    <n v="432"/>
    <n v="400372"/>
    <n v="34128"/>
  </r>
  <r>
    <s v="Happilo"/>
    <n v="405"/>
    <n v="599"/>
    <n v="339"/>
    <n v="83.703703703703695"/>
    <n v="43"/>
    <x v="0"/>
    <n v="2750"/>
    <n v="932250"/>
    <n v="5068"/>
    <n v="432"/>
    <n v="400372"/>
    <n v="34128"/>
  </r>
  <r>
    <s v="Farmley"/>
    <n v="35"/>
    <n v="50"/>
    <n v="30"/>
    <n v="85.714285714285708"/>
    <n v="40"/>
    <x v="0"/>
    <n v="13965"/>
    <n v="418950"/>
    <n v="16283"/>
    <n v="11647"/>
    <n v="1286357"/>
    <n v="920113"/>
  </r>
  <r>
    <s v="Farmley"/>
    <n v="35"/>
    <n v="50"/>
    <n v="30"/>
    <n v="85.714285714285708"/>
    <n v="40"/>
    <x v="0"/>
    <n v="13965"/>
    <n v="418950"/>
    <n v="16283"/>
    <n v="11647"/>
    <n v="1286357"/>
    <n v="920113"/>
  </r>
  <r>
    <s v="Farmley"/>
    <n v="405"/>
    <n v="549"/>
    <n v="349"/>
    <n v="86.172839506172835"/>
    <n v="36"/>
    <x v="0"/>
    <n v="8100"/>
    <n v="2826900"/>
    <n v="10418"/>
    <n v="5782"/>
    <n v="823022"/>
    <n v="456778"/>
  </r>
  <r>
    <s v="Farmley"/>
    <n v="405"/>
    <n v="549"/>
    <n v="349"/>
    <n v="86.172839506172835"/>
    <n v="36"/>
    <x v="0"/>
    <n v="8100"/>
    <n v="2826900"/>
    <n v="10418"/>
    <n v="5782"/>
    <n v="823022"/>
    <n v="456778"/>
  </r>
  <r>
    <s v="Farmley"/>
    <n v="405"/>
    <n v="549"/>
    <n v="349"/>
    <n v="86.172839506172835"/>
    <n v="36"/>
    <x v="0"/>
    <n v="8100"/>
    <n v="2826900"/>
    <n v="10418"/>
    <n v="5782"/>
    <n v="823022"/>
    <n v="456778"/>
  </r>
  <r>
    <s v="Farmley"/>
    <n v="33"/>
    <n v="30"/>
    <n v="29"/>
    <n v="87.878787878787875"/>
    <n v="3"/>
    <x v="0"/>
    <n v="1575"/>
    <n v="45675"/>
    <n v="3893"/>
    <n v="0"/>
    <n v="307547"/>
    <n v="0"/>
  </r>
  <r>
    <s v="Farmley"/>
    <n v="33"/>
    <n v="30"/>
    <n v="29"/>
    <n v="87.878787878787875"/>
    <n v="3"/>
    <x v="0"/>
    <n v="1575"/>
    <n v="45675"/>
    <n v="3893"/>
    <n v="0"/>
    <n v="307547"/>
    <n v="0"/>
  </r>
  <r>
    <s v="Farmley"/>
    <n v="33"/>
    <n v="30"/>
    <n v="29"/>
    <n v="87.878787878787875"/>
    <n v="3"/>
    <x v="0"/>
    <n v="1575"/>
    <n v="45675"/>
    <n v="3893"/>
    <n v="0"/>
    <n v="307547"/>
    <n v="0"/>
  </r>
  <r>
    <s v="Farmley"/>
    <n v="33"/>
    <n v="30"/>
    <n v="29"/>
    <n v="87.878787878787875"/>
    <n v="3"/>
    <x v="0"/>
    <n v="1575"/>
    <n v="45675"/>
    <n v="3893"/>
    <n v="0"/>
    <n v="307547"/>
    <n v="0"/>
  </r>
  <r>
    <s v="Farmley"/>
    <n v="400"/>
    <n v="438"/>
    <n v="355"/>
    <n v="88.75"/>
    <n v="19"/>
    <x v="0"/>
    <n v="3810"/>
    <n v="1352550"/>
    <n v="6128"/>
    <n v="1492"/>
    <n v="484112"/>
    <n v="117868"/>
  </r>
  <r>
    <s v="Happilo"/>
    <n v="200"/>
    <n v="275"/>
    <n v="181"/>
    <n v="90.5"/>
    <n v="34"/>
    <x v="0"/>
    <n v="1162"/>
    <n v="210322"/>
    <n v="3480"/>
    <n v="0"/>
    <n v="274920"/>
    <n v="0"/>
  </r>
  <r>
    <s v="Happilo"/>
    <n v="250"/>
    <n v="280"/>
    <n v="228"/>
    <n v="91.2"/>
    <n v="19"/>
    <x v="0"/>
    <n v="1644"/>
    <n v="374832"/>
    <n v="3962"/>
    <n v="0"/>
    <n v="312998"/>
    <n v="0"/>
  </r>
  <r>
    <s v="Yogabar"/>
    <n v="850"/>
    <n v="1315"/>
    <n v="779"/>
    <n v="91.64705882352942"/>
    <n v="40"/>
    <x v="1"/>
    <n v="336"/>
    <n v="261744"/>
    <n v="2654"/>
    <n v="0"/>
    <n v="209666"/>
    <n v="0"/>
  </r>
  <r>
    <s v="Yogabar"/>
    <n v="850"/>
    <n v="1315"/>
    <n v="779"/>
    <n v="91.64705882352942"/>
    <n v="40"/>
    <x v="1"/>
    <n v="336"/>
    <n v="261744"/>
    <n v="2654"/>
    <n v="0"/>
    <n v="209666"/>
    <n v="0"/>
  </r>
  <r>
    <s v="Yogabar"/>
    <n v="50"/>
    <n v="65"/>
    <n v="46"/>
    <n v="92"/>
    <n v="29"/>
    <x v="0"/>
    <n v="5399"/>
    <n v="248354"/>
    <n v="7717"/>
    <n v="3081"/>
    <n v="609643"/>
    <n v="243399"/>
  </r>
  <r>
    <s v="The Whole Truth"/>
    <n v="50"/>
    <n v="65"/>
    <n v="46"/>
    <n v="92"/>
    <n v="29"/>
    <x v="0"/>
    <n v="5399"/>
    <n v="248354"/>
    <n v="7717"/>
    <n v="3081"/>
    <n v="609643"/>
    <n v="243399"/>
  </r>
  <r>
    <s v="Yogabar"/>
    <n v="50"/>
    <n v="65"/>
    <n v="46"/>
    <n v="92"/>
    <n v="29"/>
    <x v="0"/>
    <n v="5399"/>
    <n v="248354"/>
    <n v="7717"/>
    <n v="3081"/>
    <n v="609643"/>
    <n v="243399"/>
  </r>
  <r>
    <s v="The Whole Truth"/>
    <n v="50"/>
    <n v="65"/>
    <n v="46"/>
    <n v="92"/>
    <n v="29"/>
    <x v="0"/>
    <n v="5399"/>
    <n v="248354"/>
    <n v="7717"/>
    <n v="3081"/>
    <n v="609643"/>
    <n v="243399"/>
  </r>
  <r>
    <s v="Happilo"/>
    <n v="900"/>
    <n v="1310"/>
    <n v="845"/>
    <n v="93.888888888888886"/>
    <n v="35"/>
    <x v="1"/>
    <n v="4227"/>
    <n v="3571815"/>
    <n v="6545"/>
    <n v="1909"/>
    <n v="517055"/>
    <n v="150811"/>
  </r>
  <r>
    <s v="Farmley"/>
    <n v="200"/>
    <n v="219"/>
    <n v="189"/>
    <n v="94.5"/>
    <n v="14"/>
    <x v="0"/>
    <n v="723"/>
    <n v="136647"/>
    <n v="3041"/>
    <n v="0"/>
    <n v="240239"/>
    <n v="0"/>
  </r>
  <r>
    <s v="Farmley"/>
    <n v="200"/>
    <n v="349"/>
    <n v="189"/>
    <n v="94.5"/>
    <n v="46"/>
    <x v="0"/>
    <n v="2773"/>
    <n v="524097"/>
    <n v="5091"/>
    <n v="455"/>
    <n v="402189"/>
    <n v="35945"/>
  </r>
  <r>
    <s v="Farmley"/>
    <n v="200"/>
    <n v="349"/>
    <n v="189"/>
    <n v="94.5"/>
    <n v="46"/>
    <x v="0"/>
    <n v="2773"/>
    <n v="524097"/>
    <n v="5091"/>
    <n v="455"/>
    <n v="402189"/>
    <n v="35945"/>
  </r>
  <r>
    <s v="Farmley"/>
    <n v="70"/>
    <n v="79"/>
    <n v="67"/>
    <n v="95.714285714285722"/>
    <n v="15"/>
    <x v="0"/>
    <n v="735"/>
    <n v="49245"/>
    <n v="3053"/>
    <n v="0"/>
    <n v="241187"/>
    <n v="0"/>
  </r>
  <r>
    <s v="Farmley"/>
    <n v="70"/>
    <n v="79"/>
    <n v="67"/>
    <n v="95.714285714285722"/>
    <n v="15"/>
    <x v="0"/>
    <n v="735"/>
    <n v="49245"/>
    <n v="3053"/>
    <n v="0"/>
    <n v="241187"/>
    <n v="0"/>
  </r>
  <r>
    <s v="Farmley"/>
    <n v="70"/>
    <n v="79"/>
    <n v="67"/>
    <n v="95.714285714285722"/>
    <n v="15"/>
    <x v="0"/>
    <n v="735"/>
    <n v="49245"/>
    <n v="3053"/>
    <n v="0"/>
    <n v="241187"/>
    <n v="0"/>
  </r>
  <r>
    <s v="Farmley"/>
    <n v="70"/>
    <n v="79"/>
    <n v="67"/>
    <n v="95.714285714285722"/>
    <n v="15"/>
    <x v="0"/>
    <n v="735"/>
    <n v="49245"/>
    <n v="3053"/>
    <n v="0"/>
    <n v="241187"/>
    <n v="0"/>
  </r>
  <r>
    <s v="Happilo"/>
    <n v="250"/>
    <n v="299"/>
    <n v="244"/>
    <n v="97.6"/>
    <n v="18"/>
    <x v="0"/>
    <n v="1980"/>
    <n v="483120"/>
    <n v="4298"/>
    <n v="0"/>
    <n v="339542"/>
    <n v="0"/>
  </r>
  <r>
    <s v="Farmley"/>
    <n v="500"/>
    <n v="999"/>
    <n v="489"/>
    <n v="97.8"/>
    <n v="51"/>
    <x v="1"/>
    <n v="972"/>
    <n v="475308"/>
    <n v="3290"/>
    <n v="0"/>
    <n v="259910"/>
    <n v="0"/>
  </r>
  <r>
    <s v="Farmley"/>
    <n v="500"/>
    <n v="899"/>
    <n v="489"/>
    <n v="97.8"/>
    <n v="46"/>
    <x v="1"/>
    <n v="925"/>
    <n v="452325"/>
    <n v="3243"/>
    <n v="0"/>
    <n v="256197"/>
    <n v="0"/>
  </r>
  <r>
    <s v="Farmley"/>
    <n v="500"/>
    <n v="899"/>
    <n v="489"/>
    <n v="97.8"/>
    <n v="46"/>
    <x v="1"/>
    <n v="925"/>
    <n v="452325"/>
    <n v="3243"/>
    <n v="0"/>
    <n v="256197"/>
    <n v="0"/>
  </r>
  <r>
    <s v="Farmley"/>
    <n v="100"/>
    <n v="199"/>
    <n v="99"/>
    <n v="99"/>
    <n v="50"/>
    <x v="0"/>
    <n v="3870"/>
    <n v="383130"/>
    <n v="6188"/>
    <n v="1552"/>
    <n v="488852"/>
    <n v="122608"/>
  </r>
  <r>
    <s v="Happilo"/>
    <n v="900"/>
    <n v="1545"/>
    <n v="892"/>
    <n v="99.111111111111114"/>
    <n v="42"/>
    <x v="1"/>
    <n v="379"/>
    <n v="338068"/>
    <n v="2697"/>
    <n v="0"/>
    <n v="213063"/>
    <n v="0"/>
  </r>
  <r>
    <s v="Healthy Master"/>
    <n v="200"/>
    <n v="328"/>
    <n v="199"/>
    <n v="99.5"/>
    <n v="39"/>
    <x v="0"/>
    <n v="3238"/>
    <n v="644362"/>
    <n v="5556"/>
    <n v="920"/>
    <n v="438924"/>
    <n v="72680"/>
  </r>
  <r>
    <s v="Farmley"/>
    <n v="200"/>
    <n v="335"/>
    <n v="199"/>
    <n v="99.5"/>
    <n v="41"/>
    <x v="0"/>
    <n v="3281"/>
    <n v="652919"/>
    <n v="5599"/>
    <n v="963"/>
    <n v="442321"/>
    <n v="76077"/>
  </r>
  <r>
    <s v="Farmley"/>
    <n v="200"/>
    <n v="335"/>
    <n v="199"/>
    <n v="99.5"/>
    <n v="41"/>
    <x v="0"/>
    <n v="3281"/>
    <n v="652919"/>
    <n v="5599"/>
    <n v="963"/>
    <n v="442321"/>
    <n v="76077"/>
  </r>
  <r>
    <s v="Farmley"/>
    <n v="500"/>
    <n v="999"/>
    <n v="499"/>
    <n v="99.8"/>
    <n v="50"/>
    <x v="1"/>
    <n v="949"/>
    <n v="473551"/>
    <n v="3267"/>
    <n v="0"/>
    <n v="258093"/>
    <n v="0"/>
  </r>
  <r>
    <s v="Healthy Master"/>
    <n v="30"/>
    <n v="33"/>
    <n v="30"/>
    <n v="100"/>
    <n v="9"/>
    <x v="0"/>
    <n v="259"/>
    <n v="7770"/>
    <n v="2577"/>
    <n v="0"/>
    <n v="203583"/>
    <n v="0"/>
  </r>
  <r>
    <s v="Healthy Master"/>
    <n v="30"/>
    <n v="33"/>
    <n v="30"/>
    <n v="100"/>
    <n v="9"/>
    <x v="0"/>
    <n v="259"/>
    <n v="7770"/>
    <n v="2577"/>
    <n v="0"/>
    <n v="203583"/>
    <n v="0"/>
  </r>
  <r>
    <s v="Happilo"/>
    <n v="800"/>
    <n v="1890"/>
    <n v="802"/>
    <n v="100.25"/>
    <n v="58"/>
    <x v="1"/>
    <n v="21687"/>
    <n v="17392974"/>
    <n v="24005"/>
    <n v="19369"/>
    <n v="1896395"/>
    <n v="1530151"/>
  </r>
  <r>
    <s v="Happilo"/>
    <n v="200"/>
    <n v="295"/>
    <n v="201"/>
    <n v="100.5"/>
    <n v="32"/>
    <x v="0"/>
    <n v="1162"/>
    <n v="233562"/>
    <n v="3480"/>
    <n v="0"/>
    <n v="274920"/>
    <n v="0"/>
  </r>
  <r>
    <s v="Happilo"/>
    <n v="350"/>
    <n v="515"/>
    <n v="355"/>
    <n v="101.4285714285714"/>
    <n v="31"/>
    <x v="0"/>
    <n v="3349"/>
    <n v="1188895"/>
    <n v="5667"/>
    <n v="1031"/>
    <n v="447693"/>
    <n v="81449"/>
  </r>
  <r>
    <s v="Happilo"/>
    <n v="350"/>
    <n v="515"/>
    <n v="356"/>
    <n v="101.71428571428569"/>
    <n v="31"/>
    <x v="0"/>
    <n v="3349"/>
    <n v="1192244"/>
    <n v="5667"/>
    <n v="1031"/>
    <n v="447693"/>
    <n v="81449"/>
  </r>
  <r>
    <s v="Happilo"/>
    <n v="900"/>
    <n v="1650"/>
    <n v="921"/>
    <n v="102.3333333333333"/>
    <n v="44"/>
    <x v="1"/>
    <n v="335"/>
    <n v="308535"/>
    <n v="2653"/>
    <n v="0"/>
    <n v="209587"/>
    <n v="0"/>
  </r>
  <r>
    <s v="Farmley"/>
    <n v="905"/>
    <n v="1249"/>
    <n v="929"/>
    <n v="102.6519337016575"/>
    <n v="26"/>
    <x v="1"/>
    <n v="0"/>
    <n v="0"/>
    <n v="2318"/>
    <n v="0"/>
    <n v="183122"/>
    <n v="0"/>
  </r>
  <r>
    <s v="Happilo"/>
    <n v="900"/>
    <n v="1400"/>
    <n v="925"/>
    <n v="102.7777777777778"/>
    <n v="34"/>
    <x v="1"/>
    <n v="4227"/>
    <n v="3909975"/>
    <n v="6545"/>
    <n v="1909"/>
    <n v="517055"/>
    <n v="150811"/>
  </r>
  <r>
    <s v="Farmley"/>
    <n v="405"/>
    <n v="499"/>
    <n v="419"/>
    <n v="103.4567901234568"/>
    <n v="16"/>
    <x v="1"/>
    <n v="1858"/>
    <n v="778502"/>
    <n v="4176"/>
    <n v="0"/>
    <n v="329904"/>
    <n v="0"/>
  </r>
  <r>
    <s v="Happilo"/>
    <n v="900"/>
    <n v="1650"/>
    <n v="935"/>
    <n v="103.8888888888889"/>
    <n v="43"/>
    <x v="1"/>
    <n v="335"/>
    <n v="313225"/>
    <n v="2653"/>
    <n v="0"/>
    <n v="209587"/>
    <n v="0"/>
  </r>
  <r>
    <s v="Yogabar"/>
    <n v="25"/>
    <n v="35"/>
    <n v="26"/>
    <n v="104"/>
    <n v="26"/>
    <x v="0"/>
    <n v="14145"/>
    <n v="367770"/>
    <n v="16463"/>
    <n v="11827"/>
    <n v="1300577"/>
    <n v="934333"/>
  </r>
  <r>
    <s v="Healthy Master"/>
    <n v="100"/>
    <n v="141"/>
    <n v="104"/>
    <n v="104"/>
    <n v="26"/>
    <x v="0"/>
    <n v="732"/>
    <n v="76128"/>
    <n v="3050"/>
    <n v="0"/>
    <n v="240950"/>
    <n v="0"/>
  </r>
  <r>
    <s v="Yogabar"/>
    <n v="25"/>
    <n v="35"/>
    <n v="26"/>
    <n v="104"/>
    <n v="26"/>
    <x v="0"/>
    <n v="14145"/>
    <n v="367770"/>
    <n v="16463"/>
    <n v="11827"/>
    <n v="1300577"/>
    <n v="934333"/>
  </r>
  <r>
    <s v="Healthy Master"/>
    <n v="100"/>
    <n v="141"/>
    <n v="104"/>
    <n v="104"/>
    <n v="26"/>
    <x v="0"/>
    <n v="732"/>
    <n v="76128"/>
    <n v="3050"/>
    <n v="0"/>
    <n v="240950"/>
    <n v="0"/>
  </r>
  <r>
    <s v="Happilo"/>
    <n v="70"/>
    <n v="99"/>
    <n v="74"/>
    <n v="105.71428571428569"/>
    <n v="25"/>
    <x v="0"/>
    <n v="2124"/>
    <n v="157176"/>
    <n v="4442"/>
    <n v="0"/>
    <n v="350918"/>
    <n v="0"/>
  </r>
  <r>
    <s v="Yogabar"/>
    <n v="35"/>
    <n v="45"/>
    <n v="37"/>
    <n v="105.71428571428569"/>
    <n v="18"/>
    <x v="0"/>
    <n v="37524"/>
    <n v="1388388"/>
    <n v="39842"/>
    <n v="35206"/>
    <n v="3147518"/>
    <n v="2781274"/>
  </r>
  <r>
    <s v="Yogabar"/>
    <n v="35"/>
    <n v="45"/>
    <n v="37"/>
    <n v="105.71428571428569"/>
    <n v="18"/>
    <x v="0"/>
    <n v="37524"/>
    <n v="1388388"/>
    <n v="39842"/>
    <n v="35206"/>
    <n v="3147518"/>
    <n v="2781274"/>
  </r>
  <r>
    <s v="Farmley"/>
    <n v="405"/>
    <n v="489"/>
    <n v="429"/>
    <n v="105.9259259259259"/>
    <n v="12"/>
    <x v="1"/>
    <n v="2676"/>
    <n v="1148004"/>
    <n v="4994"/>
    <n v="358"/>
    <n v="394526"/>
    <n v="28282"/>
  </r>
  <r>
    <s v="Happilo"/>
    <n v="200"/>
    <n v="315"/>
    <n v="214"/>
    <n v="107"/>
    <n v="32"/>
    <x v="0"/>
    <n v="2009"/>
    <n v="429926"/>
    <n v="4327"/>
    <n v="0"/>
    <n v="341833"/>
    <n v="0"/>
  </r>
  <r>
    <s v="Happilo"/>
    <n v="200"/>
    <n v="325"/>
    <n v="218"/>
    <n v="109"/>
    <n v="33"/>
    <x v="0"/>
    <n v="4224"/>
    <n v="920832"/>
    <n v="6542"/>
    <n v="1906"/>
    <n v="516818"/>
    <n v="150574"/>
  </r>
  <r>
    <s v="Healthy Master"/>
    <n v="100"/>
    <n v="141"/>
    <n v="109"/>
    <n v="109"/>
    <n v="23"/>
    <x v="0"/>
    <n v="319"/>
    <n v="34771"/>
    <n v="2637"/>
    <n v="0"/>
    <n v="208323"/>
    <n v="0"/>
  </r>
  <r>
    <s v="Healthy Master"/>
    <n v="100"/>
    <n v="141"/>
    <n v="109"/>
    <n v="109"/>
    <n v="23"/>
    <x v="0"/>
    <n v="319"/>
    <n v="34771"/>
    <n v="2637"/>
    <n v="0"/>
    <n v="208323"/>
    <n v="0"/>
  </r>
  <r>
    <s v="Healthy Master"/>
    <n v="100"/>
    <n v="141"/>
    <n v="109"/>
    <n v="109"/>
    <n v="23"/>
    <x v="0"/>
    <n v="319"/>
    <n v="34771"/>
    <n v="2637"/>
    <n v="0"/>
    <n v="208323"/>
    <n v="0"/>
  </r>
  <r>
    <s v="Healthy Master"/>
    <n v="100"/>
    <n v="141"/>
    <n v="109"/>
    <n v="109"/>
    <n v="22"/>
    <x v="0"/>
    <n v="351"/>
    <n v="38259"/>
    <n v="2669"/>
    <n v="0"/>
    <n v="210851"/>
    <n v="0"/>
  </r>
  <r>
    <s v="Healthy Master"/>
    <n v="100"/>
    <n v="141"/>
    <n v="109"/>
    <n v="109"/>
    <n v="22"/>
    <x v="0"/>
    <n v="351"/>
    <n v="38259"/>
    <n v="2669"/>
    <n v="0"/>
    <n v="210851"/>
    <n v="0"/>
  </r>
  <r>
    <s v="Healthy Master"/>
    <n v="100"/>
    <n v="141"/>
    <n v="109"/>
    <n v="109"/>
    <n v="23"/>
    <x v="0"/>
    <n v="319"/>
    <n v="34771"/>
    <n v="2637"/>
    <n v="0"/>
    <n v="208323"/>
    <n v="0"/>
  </r>
  <r>
    <s v="Healthy Master"/>
    <n v="100"/>
    <n v="141"/>
    <n v="109"/>
    <n v="109"/>
    <n v="23"/>
    <x v="0"/>
    <n v="319"/>
    <n v="34771"/>
    <n v="2637"/>
    <n v="0"/>
    <n v="208323"/>
    <n v="0"/>
  </r>
  <r>
    <s v="Healthy Master"/>
    <n v="100"/>
    <n v="141"/>
    <n v="109"/>
    <n v="109"/>
    <n v="23"/>
    <x v="0"/>
    <n v="319"/>
    <n v="34771"/>
    <n v="2637"/>
    <n v="0"/>
    <n v="208323"/>
    <n v="0"/>
  </r>
  <r>
    <s v="Farmley"/>
    <n v="200"/>
    <n v="279"/>
    <n v="219"/>
    <n v="109.5"/>
    <n v="22"/>
    <x v="0"/>
    <n v="0"/>
    <n v="0"/>
    <n v="2318"/>
    <n v="0"/>
    <n v="183122"/>
    <n v="0"/>
  </r>
  <r>
    <s v="Farmley"/>
    <n v="70"/>
    <n v="79"/>
    <n v="79"/>
    <n v="112.8571428571429"/>
    <n v="0"/>
    <x v="0"/>
    <n v="1404"/>
    <n v="110916"/>
    <n v="3722"/>
    <n v="0"/>
    <n v="294038"/>
    <n v="0"/>
  </r>
  <r>
    <s v="Farmley"/>
    <n v="70"/>
    <n v="79"/>
    <n v="79"/>
    <n v="112.8571428571429"/>
    <n v="0"/>
    <x v="0"/>
    <n v="1404"/>
    <n v="110916"/>
    <n v="3722"/>
    <n v="0"/>
    <n v="294038"/>
    <n v="0"/>
  </r>
  <r>
    <s v="Farmley"/>
    <n v="120"/>
    <n v="179"/>
    <n v="136"/>
    <n v="113.3333333333333"/>
    <n v="24"/>
    <x v="0"/>
    <n v="745"/>
    <n v="101320"/>
    <n v="3063"/>
    <n v="0"/>
    <n v="241977"/>
    <n v="0"/>
  </r>
  <r>
    <s v="Farmley"/>
    <n v="120"/>
    <n v="179"/>
    <n v="136"/>
    <n v="113.3333333333333"/>
    <n v="24"/>
    <x v="0"/>
    <n v="745"/>
    <n v="101320"/>
    <n v="3063"/>
    <n v="0"/>
    <n v="241977"/>
    <n v="0"/>
  </r>
  <r>
    <s v="Farmley"/>
    <n v="160"/>
    <n v="299"/>
    <n v="182"/>
    <n v="113.75"/>
    <n v="39"/>
    <x v="0"/>
    <n v="794"/>
    <n v="144508"/>
    <n v="3112"/>
    <n v="0"/>
    <n v="245848"/>
    <n v="0"/>
  </r>
  <r>
    <s v="Farmley"/>
    <n v="160"/>
    <n v="299"/>
    <n v="182"/>
    <n v="113.75"/>
    <n v="39"/>
    <x v="0"/>
    <n v="794"/>
    <n v="144508"/>
    <n v="3112"/>
    <n v="0"/>
    <n v="245848"/>
    <n v="0"/>
  </r>
  <r>
    <s v="Happilo"/>
    <n v="200"/>
    <n v="325"/>
    <n v="229"/>
    <n v="114.5"/>
    <n v="30"/>
    <x v="0"/>
    <n v="4224"/>
    <n v="967296"/>
    <n v="6542"/>
    <n v="1906"/>
    <n v="516818"/>
    <n v="150574"/>
  </r>
  <r>
    <s v="Happilo"/>
    <n v="200"/>
    <n v="325"/>
    <n v="229"/>
    <n v="114.5"/>
    <n v="30"/>
    <x v="0"/>
    <n v="4224"/>
    <n v="967296"/>
    <n v="6542"/>
    <n v="1906"/>
    <n v="516818"/>
    <n v="150574"/>
  </r>
  <r>
    <s v="Farmley"/>
    <n v="240"/>
    <n v="358"/>
    <n v="275"/>
    <n v="114.5833333333333"/>
    <n v="23"/>
    <x v="0"/>
    <n v="296"/>
    <n v="81400"/>
    <n v="2614"/>
    <n v="0"/>
    <n v="206506"/>
    <n v="0"/>
  </r>
  <r>
    <s v="Farmley"/>
    <n v="120"/>
    <n v="179"/>
    <n v="139"/>
    <n v="115.8333333333333"/>
    <n v="22"/>
    <x v="0"/>
    <n v="764"/>
    <n v="106196"/>
    <n v="3082"/>
    <n v="0"/>
    <n v="243478"/>
    <n v="0"/>
  </r>
  <r>
    <s v="Farmley"/>
    <n v="105"/>
    <n v="150"/>
    <n v="122"/>
    <n v="116.1904761904762"/>
    <n v="19"/>
    <x v="0"/>
    <n v="2495"/>
    <n v="304390"/>
    <n v="4813"/>
    <n v="177"/>
    <n v="380227"/>
    <n v="13983"/>
  </r>
  <r>
    <s v="Farmley"/>
    <n v="250"/>
    <n v="399"/>
    <n v="299"/>
    <n v="119.6"/>
    <n v="25"/>
    <x v="0"/>
    <n v="1094"/>
    <n v="327106"/>
    <n v="3412"/>
    <n v="0"/>
    <n v="269548"/>
    <n v="0"/>
  </r>
  <r>
    <s v="Farmley"/>
    <n v="250"/>
    <n v="399"/>
    <n v="299"/>
    <n v="119.6"/>
    <n v="25"/>
    <x v="0"/>
    <n v="1094"/>
    <n v="327106"/>
    <n v="3412"/>
    <n v="0"/>
    <n v="269548"/>
    <n v="0"/>
  </r>
  <r>
    <s v="Healthy Master"/>
    <n v="250"/>
    <n v="394"/>
    <n v="301"/>
    <n v="120.4"/>
    <n v="24"/>
    <x v="0"/>
    <n v="265"/>
    <n v="79765"/>
    <n v="2583"/>
    <n v="0"/>
    <n v="204057"/>
    <n v="0"/>
  </r>
  <r>
    <s v="Healthy Master"/>
    <n v="250"/>
    <n v="394"/>
    <n v="301"/>
    <n v="120.4"/>
    <n v="24"/>
    <x v="0"/>
    <n v="265"/>
    <n v="79765"/>
    <n v="2583"/>
    <n v="0"/>
    <n v="204057"/>
    <n v="0"/>
  </r>
  <r>
    <s v="Farmley"/>
    <n v="325"/>
    <n v="499"/>
    <n v="399"/>
    <n v="122.7692307692308"/>
    <n v="20"/>
    <x v="0"/>
    <n v="504"/>
    <n v="201096"/>
    <n v="2822"/>
    <n v="0"/>
    <n v="222938"/>
    <n v="0"/>
  </r>
  <r>
    <s v="Happilo"/>
    <n v="200"/>
    <n v="465"/>
    <n v="249"/>
    <n v="124.5"/>
    <n v="46"/>
    <x v="0"/>
    <n v="1495"/>
    <n v="372255"/>
    <n v="3813"/>
    <n v="0"/>
    <n v="301227"/>
    <n v="0"/>
  </r>
  <r>
    <s v="Happilo"/>
    <n v="200"/>
    <n v="465"/>
    <n v="249"/>
    <n v="124.5"/>
    <n v="46"/>
    <x v="0"/>
    <n v="1495"/>
    <n v="372255"/>
    <n v="3813"/>
    <n v="0"/>
    <n v="301227"/>
    <n v="0"/>
  </r>
  <r>
    <s v="Happilo"/>
    <n v="20"/>
    <n v="35"/>
    <n v="25"/>
    <n v="125"/>
    <n v="29"/>
    <x v="0"/>
    <n v="14113"/>
    <n v="352825"/>
    <n v="16431"/>
    <n v="11795"/>
    <n v="1298049"/>
    <n v="931805"/>
  </r>
  <r>
    <s v="Happilo"/>
    <n v="200"/>
    <n v="349"/>
    <n v="251"/>
    <n v="125.5"/>
    <n v="28"/>
    <x v="0"/>
    <n v="3920"/>
    <n v="983920"/>
    <n v="6238"/>
    <n v="1602"/>
    <n v="492802"/>
    <n v="126558"/>
  </r>
  <r>
    <s v="Happilo"/>
    <n v="200"/>
    <n v="395"/>
    <n v="259"/>
    <n v="129.5"/>
    <n v="34"/>
    <x v="0"/>
    <n v="2985"/>
    <n v="773115"/>
    <n v="5303"/>
    <n v="667"/>
    <n v="418937"/>
    <n v="52693"/>
  </r>
  <r>
    <s v="Happilo"/>
    <n v="200"/>
    <n v="395"/>
    <n v="259"/>
    <n v="129.5"/>
    <n v="34"/>
    <x v="0"/>
    <n v="2985"/>
    <n v="773115"/>
    <n v="5303"/>
    <n v="667"/>
    <n v="418937"/>
    <n v="52693"/>
  </r>
  <r>
    <s v="Happilo"/>
    <n v="20"/>
    <n v="40"/>
    <n v="26"/>
    <n v="130"/>
    <n v="35"/>
    <x v="0"/>
    <n v="14107"/>
    <n v="366782"/>
    <n v="16425"/>
    <n v="11789"/>
    <n v="1297575"/>
    <n v="931331"/>
  </r>
  <r>
    <s v="Farmley"/>
    <n v="40"/>
    <n v="80"/>
    <n v="53"/>
    <n v="132.5"/>
    <n v="34"/>
    <x v="0"/>
    <n v="4804"/>
    <n v="254612"/>
    <n v="7122"/>
    <n v="2486"/>
    <n v="562638"/>
    <n v="196394"/>
  </r>
  <r>
    <s v="Farmley"/>
    <n v="60"/>
    <n v="120"/>
    <n v="80"/>
    <n v="133.33333333333329"/>
    <n v="33"/>
    <x v="0"/>
    <n v="5228"/>
    <n v="418240"/>
    <n v="7546"/>
    <n v="2910"/>
    <n v="596134"/>
    <n v="229890"/>
  </r>
  <r>
    <s v="Happilo"/>
    <n v="200"/>
    <n v="365"/>
    <n v="268"/>
    <n v="134"/>
    <n v="27"/>
    <x v="0"/>
    <n v="1529"/>
    <n v="409772"/>
    <n v="3847"/>
    <n v="0"/>
    <n v="303913"/>
    <n v="0"/>
  </r>
  <r>
    <s v="Happilo"/>
    <n v="200"/>
    <n v="365"/>
    <n v="268"/>
    <n v="134"/>
    <n v="27"/>
    <x v="0"/>
    <n v="1529"/>
    <n v="409772"/>
    <n v="3847"/>
    <n v="0"/>
    <n v="303913"/>
    <n v="0"/>
  </r>
  <r>
    <s v="Farmley"/>
    <n v="20"/>
    <n v="40"/>
    <n v="27"/>
    <n v="135"/>
    <n v="32"/>
    <x v="0"/>
    <n v="14107"/>
    <n v="380889"/>
    <n v="16425"/>
    <n v="11789"/>
    <n v="1297575"/>
    <n v="931331"/>
  </r>
  <r>
    <s v="Farmley"/>
    <n v="90"/>
    <n v="150"/>
    <n v="122"/>
    <n v="135.5555555555556"/>
    <n v="19"/>
    <x v="0"/>
    <n v="2499"/>
    <n v="304878"/>
    <n v="4817"/>
    <n v="181"/>
    <n v="380543"/>
    <n v="14299"/>
  </r>
  <r>
    <s v="Farmley"/>
    <n v="30"/>
    <n v="50"/>
    <n v="41"/>
    <n v="136.66666666666671"/>
    <n v="18"/>
    <x v="0"/>
    <n v="12410"/>
    <n v="508810"/>
    <n v="14728"/>
    <n v="10092"/>
    <n v="1163512"/>
    <n v="797268"/>
  </r>
  <r>
    <s v="Farmley"/>
    <n v="30"/>
    <n v="50"/>
    <n v="41"/>
    <n v="136.66666666666671"/>
    <n v="18"/>
    <x v="0"/>
    <n v="12410"/>
    <n v="508810"/>
    <n v="14728"/>
    <n v="10092"/>
    <n v="1163512"/>
    <n v="797268"/>
  </r>
  <r>
    <s v="Healthy Master"/>
    <n v="210"/>
    <n v="374"/>
    <n v="291"/>
    <n v="138.57142857142861"/>
    <n v="22"/>
    <x v="0"/>
    <n v="400"/>
    <n v="116400"/>
    <n v="2718"/>
    <n v="0"/>
    <n v="214722"/>
    <n v="0"/>
  </r>
  <r>
    <s v="Healthy Master"/>
    <n v="210"/>
    <n v="374"/>
    <n v="291"/>
    <n v="138.57142857142861"/>
    <n v="22"/>
    <x v="0"/>
    <n v="400"/>
    <n v="116400"/>
    <n v="2718"/>
    <n v="0"/>
    <n v="214722"/>
    <n v="0"/>
  </r>
  <r>
    <s v="Farmley"/>
    <n v="35"/>
    <n v="50"/>
    <n v="49"/>
    <n v="140"/>
    <n v="2"/>
    <x v="0"/>
    <n v="10694"/>
    <n v="524006"/>
    <n v="13012"/>
    <n v="8376"/>
    <n v="1027948"/>
    <n v="661704"/>
  </r>
  <r>
    <s v="Happilo"/>
    <n v="200"/>
    <n v="365"/>
    <n v="283"/>
    <n v="141.5"/>
    <n v="22"/>
    <x v="0"/>
    <n v="498"/>
    <n v="140934"/>
    <n v="2816"/>
    <n v="0"/>
    <n v="222464"/>
    <n v="0"/>
  </r>
  <r>
    <s v="Happilo"/>
    <n v="200"/>
    <n v="375"/>
    <n v="283"/>
    <n v="141.5"/>
    <n v="25"/>
    <x v="0"/>
    <n v="354"/>
    <n v="100182"/>
    <n v="2672"/>
    <n v="0"/>
    <n v="211088"/>
    <n v="0"/>
  </r>
  <r>
    <s v="Happilo"/>
    <n v="200"/>
    <n v="375"/>
    <n v="283"/>
    <n v="141.5"/>
    <n v="25"/>
    <x v="0"/>
    <n v="354"/>
    <n v="100182"/>
    <n v="2672"/>
    <n v="0"/>
    <n v="211088"/>
    <n v="0"/>
  </r>
  <r>
    <s v="Healthy Master"/>
    <n v="210"/>
    <n v="374"/>
    <n v="299"/>
    <n v="142.38095238095241"/>
    <n v="20"/>
    <x v="0"/>
    <n v="400"/>
    <n v="119600"/>
    <n v="2718"/>
    <n v="0"/>
    <n v="214722"/>
    <n v="0"/>
  </r>
  <r>
    <s v="Farmley"/>
    <n v="21"/>
    <n v="50"/>
    <n v="30"/>
    <n v="142.85714285714289"/>
    <n v="40"/>
    <x v="0"/>
    <n v="14133"/>
    <n v="423990"/>
    <n v="16451"/>
    <n v="11815"/>
    <n v="1299629"/>
    <n v="933385"/>
  </r>
  <r>
    <s v="Farmley"/>
    <n v="21"/>
    <n v="50"/>
    <n v="30"/>
    <n v="142.85714285714289"/>
    <n v="40"/>
    <x v="0"/>
    <n v="14133"/>
    <n v="423990"/>
    <n v="16451"/>
    <n v="11815"/>
    <n v="1299629"/>
    <n v="933385"/>
  </r>
  <r>
    <s v="Happilo"/>
    <n v="200"/>
    <n v="355"/>
    <n v="286"/>
    <n v="143"/>
    <n v="19"/>
    <x v="0"/>
    <n v="2669"/>
    <n v="763334"/>
    <n v="4987"/>
    <n v="351"/>
    <n v="393973"/>
    <n v="27729"/>
  </r>
  <r>
    <s v="Farmley"/>
    <n v="30"/>
    <n v="50"/>
    <n v="43"/>
    <n v="143.33333333333329"/>
    <n v="14"/>
    <x v="0"/>
    <n v="8769"/>
    <n v="377067"/>
    <n v="11087"/>
    <n v="6451"/>
    <n v="875873"/>
    <n v="509629"/>
  </r>
  <r>
    <s v="Farmley"/>
    <n v="200"/>
    <n v="335"/>
    <n v="289"/>
    <n v="144.5"/>
    <n v="14"/>
    <x v="0"/>
    <n v="520"/>
    <n v="150280"/>
    <n v="2838"/>
    <n v="0"/>
    <n v="224202"/>
    <n v="0"/>
  </r>
  <r>
    <s v="Farmley"/>
    <n v="200"/>
    <n v="349"/>
    <n v="289"/>
    <n v="144.5"/>
    <n v="17"/>
    <x v="0"/>
    <n v="293"/>
    <n v="84677"/>
    <n v="2611"/>
    <n v="0"/>
    <n v="206269"/>
    <n v="0"/>
  </r>
  <r>
    <s v="Farmley"/>
    <n v="28"/>
    <n v="50"/>
    <n v="41"/>
    <n v="146.42857142857139"/>
    <n v="18"/>
    <x v="0"/>
    <n v="1249"/>
    <n v="51209"/>
    <n v="3567"/>
    <n v="0"/>
    <n v="281793"/>
    <n v="0"/>
  </r>
  <r>
    <s v="Farmley"/>
    <n v="28"/>
    <n v="50"/>
    <n v="41"/>
    <n v="146.42857142857139"/>
    <n v="18"/>
    <x v="0"/>
    <n v="1249"/>
    <n v="51209"/>
    <n v="3567"/>
    <n v="0"/>
    <n v="281793"/>
    <n v="0"/>
  </r>
  <r>
    <s v="Happilo"/>
    <n v="200"/>
    <n v="400"/>
    <n v="295"/>
    <n v="147.5"/>
    <n v="26"/>
    <x v="0"/>
    <n v="321"/>
    <n v="94695"/>
    <n v="2639"/>
    <n v="0"/>
    <n v="208481"/>
    <n v="0"/>
  </r>
  <r>
    <s v="Happilo"/>
    <n v="200"/>
    <n v="400"/>
    <n v="295"/>
    <n v="147.5"/>
    <n v="26"/>
    <x v="0"/>
    <n v="321"/>
    <n v="94695"/>
    <n v="2639"/>
    <n v="0"/>
    <n v="208481"/>
    <n v="0"/>
  </r>
  <r>
    <s v="Happilo"/>
    <n v="200"/>
    <n v="395"/>
    <n v="296"/>
    <n v="148"/>
    <n v="25"/>
    <x v="0"/>
    <n v="455"/>
    <n v="134680"/>
    <n v="2773"/>
    <n v="0"/>
    <n v="219067"/>
    <n v="0"/>
  </r>
  <r>
    <s v="Happilo"/>
    <n v="200"/>
    <n v="370"/>
    <n v="298"/>
    <n v="149"/>
    <n v="19"/>
    <x v="0"/>
    <n v="2706"/>
    <n v="806388"/>
    <n v="5024"/>
    <n v="388"/>
    <n v="396896"/>
    <n v="30652"/>
  </r>
  <r>
    <s v="Farmley"/>
    <n v="100"/>
    <n v="199"/>
    <n v="149"/>
    <n v="149"/>
    <n v="25"/>
    <x v="0"/>
    <n v="1563"/>
    <n v="232887"/>
    <n v="3881"/>
    <n v="0"/>
    <n v="306599"/>
    <n v="0"/>
  </r>
  <r>
    <s v="Farmley"/>
    <n v="100"/>
    <n v="199"/>
    <n v="149"/>
    <n v="149"/>
    <n v="25"/>
    <x v="0"/>
    <n v="1563"/>
    <n v="232887"/>
    <n v="3881"/>
    <n v="0"/>
    <n v="306599"/>
    <n v="0"/>
  </r>
  <r>
    <s v="Happilo"/>
    <n v="200"/>
    <n v="395"/>
    <n v="299"/>
    <n v="149.5"/>
    <n v="24"/>
    <x v="0"/>
    <n v="305"/>
    <n v="91195"/>
    <n v="2623"/>
    <n v="0"/>
    <n v="207217"/>
    <n v="0"/>
  </r>
  <r>
    <s v="Farmley"/>
    <n v="60"/>
    <n v="120"/>
    <n v="90"/>
    <n v="150"/>
    <n v="25"/>
    <x v="0"/>
    <n v="3635"/>
    <n v="327150"/>
    <n v="5953"/>
    <n v="1317"/>
    <n v="470287"/>
    <n v="104043"/>
  </r>
  <r>
    <s v="Happilo"/>
    <n v="500"/>
    <n v="1299"/>
    <n v="751"/>
    <n v="150.19999999999999"/>
    <n v="42"/>
    <x v="1"/>
    <n v="1237"/>
    <n v="928987"/>
    <n v="3555"/>
    <n v="0"/>
    <n v="280845"/>
    <n v="0"/>
  </r>
  <r>
    <s v="Happilo"/>
    <n v="200"/>
    <n v="400"/>
    <n v="301"/>
    <n v="150.5"/>
    <n v="25"/>
    <x v="0"/>
    <n v="439"/>
    <n v="132139"/>
    <n v="2757"/>
    <n v="0"/>
    <n v="217803"/>
    <n v="0"/>
  </r>
  <r>
    <s v="Happilo"/>
    <n v="200"/>
    <n v="425"/>
    <n v="301"/>
    <n v="150.5"/>
    <n v="29"/>
    <x v="0"/>
    <n v="3043"/>
    <n v="915943"/>
    <n v="5361"/>
    <n v="725"/>
    <n v="423519"/>
    <n v="57275"/>
  </r>
  <r>
    <s v="Happilo"/>
    <n v="160"/>
    <n v="315"/>
    <n v="247"/>
    <n v="154.375"/>
    <n v="22"/>
    <x v="0"/>
    <n v="0"/>
    <n v="0"/>
    <n v="2318"/>
    <n v="0"/>
    <n v="183122"/>
    <n v="0"/>
  </r>
  <r>
    <s v="The Whole Truth"/>
    <n v="156"/>
    <n v="270"/>
    <n v="245"/>
    <n v="157.05128205128199"/>
    <n v="9"/>
    <x v="0"/>
    <n v="168"/>
    <n v="41160"/>
    <n v="2486"/>
    <n v="0"/>
    <n v="196394"/>
    <n v="0"/>
  </r>
  <r>
    <s v="The Whole Truth"/>
    <n v="156"/>
    <n v="270"/>
    <n v="245"/>
    <n v="157.05128205128199"/>
    <n v="9"/>
    <x v="0"/>
    <n v="168"/>
    <n v="41160"/>
    <n v="2486"/>
    <n v="0"/>
    <n v="196394"/>
    <n v="0"/>
  </r>
  <r>
    <s v="The Whole Truth"/>
    <n v="156"/>
    <n v="270"/>
    <n v="245"/>
    <n v="157.05128205128199"/>
    <n v="9"/>
    <x v="0"/>
    <n v="168"/>
    <n v="41160"/>
    <n v="2486"/>
    <n v="0"/>
    <n v="196394"/>
    <n v="0"/>
  </r>
  <r>
    <s v="Happilo"/>
    <n v="127"/>
    <n v="259"/>
    <n v="200"/>
    <n v="157.4803149606299"/>
    <n v="23"/>
    <x v="0"/>
    <n v="1068"/>
    <n v="213600"/>
    <n v="3386"/>
    <n v="0"/>
    <n v="267494"/>
    <n v="0"/>
  </r>
  <r>
    <s v="Happilo"/>
    <n v="200"/>
    <n v="435"/>
    <n v="317"/>
    <n v="158.5"/>
    <n v="27"/>
    <x v="0"/>
    <n v="1128"/>
    <n v="357576"/>
    <n v="3446"/>
    <n v="0"/>
    <n v="272234"/>
    <n v="0"/>
  </r>
  <r>
    <s v="Happilo"/>
    <n v="200"/>
    <n v="465"/>
    <n v="317"/>
    <n v="158.5"/>
    <n v="32"/>
    <x v="0"/>
    <n v="2951"/>
    <n v="935467"/>
    <n v="5269"/>
    <n v="633"/>
    <n v="416251"/>
    <n v="50007"/>
  </r>
  <r>
    <s v="Happilo"/>
    <n v="200"/>
    <n v="375"/>
    <n v="318"/>
    <n v="159"/>
    <n v="15"/>
    <x v="0"/>
    <n v="169"/>
    <n v="53742"/>
    <n v="2487"/>
    <n v="0"/>
    <n v="196473"/>
    <n v="0"/>
  </r>
  <r>
    <s v="Farmley"/>
    <n v="60"/>
    <n v="120"/>
    <n v="96"/>
    <n v="160"/>
    <n v="20"/>
    <x v="0"/>
    <n v="3207"/>
    <n v="307872"/>
    <n v="5525"/>
    <n v="889"/>
    <n v="436475"/>
    <n v="70231"/>
  </r>
  <r>
    <s v="Farmley"/>
    <n v="60"/>
    <n v="120"/>
    <n v="96"/>
    <n v="160"/>
    <n v="20"/>
    <x v="0"/>
    <n v="3207"/>
    <n v="307872"/>
    <n v="5525"/>
    <n v="889"/>
    <n v="436475"/>
    <n v="70231"/>
  </r>
  <r>
    <s v="Farmley"/>
    <n v="200"/>
    <n v="400"/>
    <n v="322"/>
    <n v="161"/>
    <n v="20"/>
    <x v="0"/>
    <n v="286"/>
    <n v="92092"/>
    <n v="2604"/>
    <n v="0"/>
    <n v="205716"/>
    <n v="0"/>
  </r>
  <r>
    <s v="Farmley"/>
    <n v="200"/>
    <n v="400"/>
    <n v="322"/>
    <n v="161"/>
    <n v="20"/>
    <x v="0"/>
    <n v="286"/>
    <n v="92092"/>
    <n v="2604"/>
    <n v="0"/>
    <n v="205716"/>
    <n v="0"/>
  </r>
  <r>
    <s v="The Whole Truth"/>
    <n v="104"/>
    <n v="180"/>
    <n v="169"/>
    <n v="162.5"/>
    <n v="6"/>
    <x v="0"/>
    <n v="1275"/>
    <n v="215475"/>
    <n v="3593"/>
    <n v="0"/>
    <n v="283847"/>
    <n v="0"/>
  </r>
  <r>
    <s v="The Whole Truth"/>
    <n v="104"/>
    <n v="180"/>
    <n v="169"/>
    <n v="162.5"/>
    <n v="6"/>
    <x v="0"/>
    <n v="1275"/>
    <n v="215475"/>
    <n v="3593"/>
    <n v="0"/>
    <n v="283847"/>
    <n v="0"/>
  </r>
  <r>
    <s v="The Whole Truth"/>
    <n v="104"/>
    <n v="180"/>
    <n v="169"/>
    <n v="162.5"/>
    <n v="6"/>
    <x v="0"/>
    <n v="1275"/>
    <n v="215475"/>
    <n v="3593"/>
    <n v="0"/>
    <n v="283847"/>
    <n v="0"/>
  </r>
  <r>
    <s v="The Whole Truth"/>
    <n v="52"/>
    <n v="90"/>
    <n v="85"/>
    <n v="163.46153846153851"/>
    <n v="6"/>
    <x v="0"/>
    <n v="3107"/>
    <n v="264095"/>
    <n v="5425"/>
    <n v="789"/>
    <n v="428575"/>
    <n v="62331"/>
  </r>
  <r>
    <s v="The Whole Truth"/>
    <n v="52"/>
    <n v="90"/>
    <n v="85"/>
    <n v="163.46153846153851"/>
    <n v="6"/>
    <x v="0"/>
    <n v="3107"/>
    <n v="264095"/>
    <n v="5425"/>
    <n v="789"/>
    <n v="428575"/>
    <n v="62331"/>
  </r>
  <r>
    <s v="Farmley"/>
    <n v="200"/>
    <n v="400"/>
    <n v="329"/>
    <n v="164.5"/>
    <n v="18"/>
    <x v="0"/>
    <n v="2923"/>
    <n v="961667"/>
    <n v="5241"/>
    <n v="605"/>
    <n v="414039"/>
    <n v="47795"/>
  </r>
  <r>
    <s v="Farmley"/>
    <n v="200"/>
    <n v="400"/>
    <n v="329"/>
    <n v="164.5"/>
    <n v="18"/>
    <x v="0"/>
    <n v="2923"/>
    <n v="961667"/>
    <n v="5241"/>
    <n v="605"/>
    <n v="414039"/>
    <n v="47795"/>
  </r>
  <r>
    <s v="Farmley"/>
    <n v="200"/>
    <n v="400"/>
    <n v="329"/>
    <n v="164.5"/>
    <n v="18"/>
    <x v="0"/>
    <n v="2923"/>
    <n v="961667"/>
    <n v="5241"/>
    <n v="605"/>
    <n v="414039"/>
    <n v="47795"/>
  </r>
  <r>
    <s v="Farmley"/>
    <n v="200"/>
    <n v="400"/>
    <n v="329"/>
    <n v="164.5"/>
    <n v="18"/>
    <x v="0"/>
    <n v="2923"/>
    <n v="961667"/>
    <n v="5241"/>
    <n v="605"/>
    <n v="414039"/>
    <n v="47795"/>
  </r>
  <r>
    <s v="Farmley"/>
    <n v="60"/>
    <n v="120"/>
    <n v="99"/>
    <n v="165"/>
    <n v="18"/>
    <x v="0"/>
    <n v="4944"/>
    <n v="489456"/>
    <n v="7262"/>
    <n v="2626"/>
    <n v="573698"/>
    <n v="207454"/>
  </r>
  <r>
    <s v="Happilo"/>
    <n v="160"/>
    <n v="345"/>
    <n v="264"/>
    <n v="165"/>
    <n v="23"/>
    <x v="0"/>
    <n v="831"/>
    <n v="219384"/>
    <n v="3149"/>
    <n v="0"/>
    <n v="248771"/>
    <n v="0"/>
  </r>
  <r>
    <s v="Farmley"/>
    <n v="200"/>
    <n v="400"/>
    <n v="332"/>
    <n v="166"/>
    <n v="17"/>
    <x v="0"/>
    <n v="270"/>
    <n v="89640"/>
    <n v="2588"/>
    <n v="0"/>
    <n v="204452"/>
    <n v="0"/>
  </r>
  <r>
    <s v="Farmley"/>
    <n v="200"/>
    <n v="400"/>
    <n v="332"/>
    <n v="166"/>
    <n v="17"/>
    <x v="0"/>
    <n v="270"/>
    <n v="89640"/>
    <n v="2588"/>
    <n v="0"/>
    <n v="204452"/>
    <n v="0"/>
  </r>
  <r>
    <s v="Happilo"/>
    <n v="400"/>
    <n v="825"/>
    <n v="665"/>
    <n v="166.25"/>
    <n v="31"/>
    <x v="1"/>
    <n v="4033"/>
    <n v="2681945"/>
    <n v="6351"/>
    <n v="1715"/>
    <n v="501729"/>
    <n v="135485"/>
  </r>
  <r>
    <s v="Happilo"/>
    <n v="400"/>
    <n v="825"/>
    <n v="665"/>
    <n v="166.25"/>
    <n v="31"/>
    <x v="1"/>
    <n v="4033"/>
    <n v="2681945"/>
    <n v="6351"/>
    <n v="1715"/>
    <n v="501729"/>
    <n v="135485"/>
  </r>
  <r>
    <s v="Happilo"/>
    <n v="60"/>
    <n v="110"/>
    <n v="100"/>
    <n v="166.66666666666671"/>
    <n v="9"/>
    <x v="0"/>
    <n v="4031"/>
    <n v="403100"/>
    <n v="6349"/>
    <n v="1713"/>
    <n v="501571"/>
    <n v="135327"/>
  </r>
  <r>
    <s v="Happilo"/>
    <n v="127"/>
    <n v="275"/>
    <n v="212"/>
    <n v="166.9291338582677"/>
    <n v="23"/>
    <x v="0"/>
    <n v="0"/>
    <n v="0"/>
    <n v="2318"/>
    <n v="0"/>
    <n v="183122"/>
    <n v="0"/>
  </r>
  <r>
    <s v="Farmley"/>
    <n v="40"/>
    <n v="80"/>
    <n v="67"/>
    <n v="167.5"/>
    <n v="16"/>
    <x v="0"/>
    <n v="864"/>
    <n v="57888"/>
    <n v="3182"/>
    <n v="0"/>
    <n v="251378"/>
    <n v="0"/>
  </r>
  <r>
    <s v="Healthy Master"/>
    <n v="200"/>
    <n v="394"/>
    <n v="335"/>
    <n v="167.5"/>
    <n v="14"/>
    <x v="0"/>
    <n v="106"/>
    <n v="35510"/>
    <n v="2424"/>
    <n v="0"/>
    <n v="191496"/>
    <n v="0"/>
  </r>
  <r>
    <s v="Healthy Master"/>
    <n v="200"/>
    <n v="394"/>
    <n v="335"/>
    <n v="167.5"/>
    <n v="14"/>
    <x v="0"/>
    <n v="106"/>
    <n v="35510"/>
    <n v="2424"/>
    <n v="0"/>
    <n v="191496"/>
    <n v="0"/>
  </r>
  <r>
    <s v="Happilo"/>
    <n v="252"/>
    <n v="549"/>
    <n v="423"/>
    <n v="167.85714285714289"/>
    <n v="23"/>
    <x v="0"/>
    <n v="1582"/>
    <n v="669186"/>
    <n v="3900"/>
    <n v="0"/>
    <n v="308100"/>
    <n v="0"/>
  </r>
  <r>
    <s v="Happilo"/>
    <n v="160"/>
    <n v="345"/>
    <n v="270"/>
    <n v="168.75"/>
    <n v="22"/>
    <x v="0"/>
    <n v="850"/>
    <n v="229500"/>
    <n v="3168"/>
    <n v="0"/>
    <n v="250272"/>
    <n v="0"/>
  </r>
  <r>
    <s v="Farmley"/>
    <n v="200"/>
    <n v="400"/>
    <n v="339"/>
    <n v="169.5"/>
    <n v="15"/>
    <x v="0"/>
    <n v="270"/>
    <n v="91530"/>
    <n v="2588"/>
    <n v="0"/>
    <n v="204452"/>
    <n v="0"/>
  </r>
  <r>
    <s v="Farmley"/>
    <n v="200"/>
    <n v="400"/>
    <n v="339"/>
    <n v="169.5"/>
    <n v="15"/>
    <x v="0"/>
    <n v="270"/>
    <n v="91530"/>
    <n v="2588"/>
    <n v="0"/>
    <n v="204452"/>
    <n v="0"/>
  </r>
  <r>
    <s v="Farmley"/>
    <n v="200"/>
    <n v="400"/>
    <n v="339"/>
    <n v="169.5"/>
    <n v="15"/>
    <x v="0"/>
    <n v="270"/>
    <n v="91530"/>
    <n v="2588"/>
    <n v="0"/>
    <n v="204452"/>
    <n v="0"/>
  </r>
  <r>
    <s v="Farmley"/>
    <n v="20"/>
    <n v="40"/>
    <n v="34"/>
    <n v="170"/>
    <n v="15"/>
    <x v="0"/>
    <n v="9422"/>
    <n v="320348"/>
    <n v="11740"/>
    <n v="7104"/>
    <n v="927460"/>
    <n v="561216"/>
  </r>
  <r>
    <s v="Farmley"/>
    <n v="20"/>
    <n v="40"/>
    <n v="34"/>
    <n v="170"/>
    <n v="15"/>
    <x v="0"/>
    <n v="9422"/>
    <n v="320348"/>
    <n v="11740"/>
    <n v="7104"/>
    <n v="927460"/>
    <n v="561216"/>
  </r>
  <r>
    <s v="Farmley"/>
    <n v="200"/>
    <n v="369"/>
    <n v="347"/>
    <n v="173.5"/>
    <n v="6"/>
    <x v="0"/>
    <n v="1048"/>
    <n v="363656"/>
    <n v="3366"/>
    <n v="0"/>
    <n v="265914"/>
    <n v="0"/>
  </r>
  <r>
    <s v="Farmley"/>
    <n v="200"/>
    <n v="699"/>
    <n v="347"/>
    <n v="173.5"/>
    <n v="50"/>
    <x v="0"/>
    <n v="669"/>
    <n v="232143"/>
    <n v="2987"/>
    <n v="0"/>
    <n v="235973"/>
    <n v="0"/>
  </r>
  <r>
    <s v="Farmley"/>
    <n v="200"/>
    <n v="400"/>
    <n v="349"/>
    <n v="174.5"/>
    <n v="13"/>
    <x v="0"/>
    <n v="1080"/>
    <n v="376920"/>
    <n v="3398"/>
    <n v="0"/>
    <n v="268442"/>
    <n v="0"/>
  </r>
  <r>
    <s v="Farmley"/>
    <n v="28"/>
    <n v="50"/>
    <n v="49"/>
    <n v="175"/>
    <n v="2"/>
    <x v="0"/>
    <n v="87"/>
    <n v="4263"/>
    <n v="2405"/>
    <n v="0"/>
    <n v="189995"/>
    <n v="0"/>
  </r>
  <r>
    <s v="Happilo"/>
    <n v="200"/>
    <n v="475"/>
    <n v="351"/>
    <n v="175.5"/>
    <n v="26"/>
    <x v="0"/>
    <n v="235"/>
    <n v="82485"/>
    <n v="2553"/>
    <n v="0"/>
    <n v="201687"/>
    <n v="0"/>
  </r>
  <r>
    <s v="Happilo"/>
    <n v="200"/>
    <n v="545"/>
    <n v="352"/>
    <n v="176"/>
    <n v="35"/>
    <x v="0"/>
    <n v="3118"/>
    <n v="1097536"/>
    <n v="5436"/>
    <n v="800"/>
    <n v="429444"/>
    <n v="63200"/>
  </r>
  <r>
    <s v="Happilo"/>
    <n v="160"/>
    <n v="345"/>
    <n v="285"/>
    <n v="178.125"/>
    <n v="17"/>
    <x v="0"/>
    <n v="430"/>
    <n v="122550"/>
    <n v="2748"/>
    <n v="0"/>
    <n v="217092"/>
    <n v="0"/>
  </r>
  <r>
    <s v="Happilo"/>
    <n v="160"/>
    <n v="345"/>
    <n v="286"/>
    <n v="178.75"/>
    <n v="17"/>
    <x v="0"/>
    <n v="430"/>
    <n v="122980"/>
    <n v="2748"/>
    <n v="0"/>
    <n v="217092"/>
    <n v="0"/>
  </r>
  <r>
    <s v="Farmley"/>
    <n v="200"/>
    <n v="699"/>
    <n v="358"/>
    <n v="179"/>
    <n v="49"/>
    <x v="0"/>
    <n v="669"/>
    <n v="239502"/>
    <n v="2987"/>
    <n v="0"/>
    <n v="235973"/>
    <n v="0"/>
  </r>
  <r>
    <s v="Farmley"/>
    <n v="200"/>
    <n v="699"/>
    <n v="358"/>
    <n v="179"/>
    <n v="49"/>
    <x v="0"/>
    <n v="669"/>
    <n v="239502"/>
    <n v="2987"/>
    <n v="0"/>
    <n v="235973"/>
    <n v="0"/>
  </r>
  <r>
    <s v="Happilo"/>
    <n v="35"/>
    <n v="80"/>
    <n v="63"/>
    <n v="180"/>
    <n v="21"/>
    <x v="0"/>
    <n v="3065"/>
    <n v="193095"/>
    <n v="5383"/>
    <n v="747"/>
    <n v="425257"/>
    <n v="59013"/>
  </r>
  <r>
    <s v="Happilo"/>
    <n v="35"/>
    <n v="80"/>
    <n v="63"/>
    <n v="180"/>
    <n v="21"/>
    <x v="0"/>
    <n v="3065"/>
    <n v="193095"/>
    <n v="5383"/>
    <n v="747"/>
    <n v="425257"/>
    <n v="59013"/>
  </r>
  <r>
    <s v="Happilo"/>
    <n v="35"/>
    <n v="80"/>
    <n v="63"/>
    <n v="180"/>
    <n v="21"/>
    <x v="0"/>
    <n v="3065"/>
    <n v="193095"/>
    <n v="5383"/>
    <n v="747"/>
    <n v="425257"/>
    <n v="59013"/>
  </r>
  <r>
    <s v="The Whole Truth"/>
    <n v="120"/>
    <n v="240"/>
    <n v="216"/>
    <n v="180"/>
    <n v="10"/>
    <x v="0"/>
    <n v="1549"/>
    <n v="334584"/>
    <n v="3867"/>
    <n v="0"/>
    <n v="305493"/>
    <n v="0"/>
  </r>
  <r>
    <s v="Happilo"/>
    <n v="35"/>
    <n v="80"/>
    <n v="63"/>
    <n v="180"/>
    <n v="21"/>
    <x v="0"/>
    <n v="3065"/>
    <n v="193095"/>
    <n v="5383"/>
    <n v="747"/>
    <n v="425257"/>
    <n v="59013"/>
  </r>
  <r>
    <s v="The Whole Truth"/>
    <n v="40"/>
    <n v="80"/>
    <n v="72"/>
    <n v="180"/>
    <n v="10"/>
    <x v="0"/>
    <n v="1698"/>
    <n v="122256"/>
    <n v="4016"/>
    <n v="0"/>
    <n v="317264"/>
    <n v="0"/>
  </r>
  <r>
    <s v="Happilo"/>
    <n v="35"/>
    <n v="80"/>
    <n v="63"/>
    <n v="180"/>
    <n v="21"/>
    <x v="0"/>
    <n v="3065"/>
    <n v="193095"/>
    <n v="5383"/>
    <n v="747"/>
    <n v="425257"/>
    <n v="59013"/>
  </r>
  <r>
    <s v="The Whole Truth"/>
    <n v="40"/>
    <n v="80"/>
    <n v="72"/>
    <n v="180"/>
    <n v="10"/>
    <x v="0"/>
    <n v="1698"/>
    <n v="122256"/>
    <n v="4016"/>
    <n v="0"/>
    <n v="317264"/>
    <n v="0"/>
  </r>
  <r>
    <s v="The Whole Truth"/>
    <n v="165"/>
    <n v="330"/>
    <n v="299"/>
    <n v="181.21212121212119"/>
    <n v="9"/>
    <x v="0"/>
    <n v="1309"/>
    <n v="391391"/>
    <n v="3627"/>
    <n v="0"/>
    <n v="286533"/>
    <n v="0"/>
  </r>
  <r>
    <s v="The Whole Truth"/>
    <n v="201"/>
    <n v="405"/>
    <n v="366"/>
    <n v="182.08955223880599"/>
    <n v="10"/>
    <x v="0"/>
    <n v="1080"/>
    <n v="395280"/>
    <n v="3398"/>
    <n v="0"/>
    <n v="268442"/>
    <n v="0"/>
  </r>
  <r>
    <s v="The Whole Truth"/>
    <n v="201"/>
    <n v="405"/>
    <n v="366"/>
    <n v="182.08955223880599"/>
    <n v="10"/>
    <x v="0"/>
    <n v="1080"/>
    <n v="395280"/>
    <n v="3398"/>
    <n v="0"/>
    <n v="268442"/>
    <n v="0"/>
  </r>
  <r>
    <s v="Farmley"/>
    <n v="20"/>
    <n v="40"/>
    <n v="37"/>
    <n v="185"/>
    <n v="8"/>
    <x v="0"/>
    <n v="1630"/>
    <n v="60310"/>
    <n v="3948"/>
    <n v="0"/>
    <n v="311892"/>
    <n v="0"/>
  </r>
  <r>
    <s v="Farmley"/>
    <n v="20"/>
    <n v="40"/>
    <n v="37"/>
    <n v="185"/>
    <n v="8"/>
    <x v="0"/>
    <n v="1630"/>
    <n v="60310"/>
    <n v="3948"/>
    <n v="0"/>
    <n v="311892"/>
    <n v="0"/>
  </r>
  <r>
    <s v="The Whole Truth"/>
    <n v="80"/>
    <n v="160"/>
    <n v="149"/>
    <n v="186.25"/>
    <n v="7"/>
    <x v="0"/>
    <n v="932"/>
    <n v="138868"/>
    <n v="3250"/>
    <n v="0"/>
    <n v="256750"/>
    <n v="0"/>
  </r>
  <r>
    <s v="The Whole Truth"/>
    <n v="110"/>
    <n v="220"/>
    <n v="206"/>
    <n v="187.27272727272731"/>
    <n v="6"/>
    <x v="0"/>
    <n v="1602"/>
    <n v="330012"/>
    <n v="3920"/>
    <n v="0"/>
    <n v="309680"/>
    <n v="0"/>
  </r>
  <r>
    <s v="The Whole Truth"/>
    <n v="134"/>
    <n v="270"/>
    <n v="252"/>
    <n v="188.0597014925373"/>
    <n v="7"/>
    <x v="0"/>
    <n v="168"/>
    <n v="42336"/>
    <n v="2486"/>
    <n v="0"/>
    <n v="196394"/>
    <n v="0"/>
  </r>
  <r>
    <s v="The Whole Truth"/>
    <n v="134"/>
    <n v="270"/>
    <n v="252"/>
    <n v="188.0597014925373"/>
    <n v="7"/>
    <x v="0"/>
    <n v="168"/>
    <n v="42336"/>
    <n v="2486"/>
    <n v="0"/>
    <n v="196394"/>
    <n v="0"/>
  </r>
  <r>
    <s v="Farmley"/>
    <n v="200"/>
    <n v="595"/>
    <n v="379"/>
    <n v="189.5"/>
    <n v="36"/>
    <x v="0"/>
    <n v="4146"/>
    <n v="1571334"/>
    <n v="6464"/>
    <n v="1828"/>
    <n v="510656"/>
    <n v="144412"/>
  </r>
  <r>
    <s v="The Whole Truth"/>
    <n v="432"/>
    <n v="880"/>
    <n v="821"/>
    <n v="190.0462962962963"/>
    <n v="7"/>
    <x v="1"/>
    <n v="2080"/>
    <n v="1707680"/>
    <n v="4398"/>
    <n v="0"/>
    <n v="347442"/>
    <n v="0"/>
  </r>
  <r>
    <s v="The Whole Truth"/>
    <n v="52"/>
    <n v="110"/>
    <n v="99"/>
    <n v="190.38461538461539"/>
    <n v="10"/>
    <x v="0"/>
    <n v="4031"/>
    <n v="399069"/>
    <n v="6349"/>
    <n v="1713"/>
    <n v="501571"/>
    <n v="135327"/>
  </r>
  <r>
    <s v="The Whole Truth"/>
    <n v="52"/>
    <n v="110"/>
    <n v="99"/>
    <n v="190.38461538461539"/>
    <n v="10"/>
    <x v="0"/>
    <n v="4031"/>
    <n v="399069"/>
    <n v="6349"/>
    <n v="1713"/>
    <n v="501571"/>
    <n v="135327"/>
  </r>
  <r>
    <s v="Farmley"/>
    <n v="154"/>
    <n v="478"/>
    <n v="294"/>
    <n v="190.90909090909091"/>
    <n v="38"/>
    <x v="0"/>
    <n v="3191"/>
    <n v="938154"/>
    <n v="5509"/>
    <n v="873"/>
    <n v="435211"/>
    <n v="68967"/>
  </r>
  <r>
    <s v="Farmley"/>
    <n v="154"/>
    <n v="398"/>
    <n v="294"/>
    <n v="190.90909090909091"/>
    <n v="26"/>
    <x v="0"/>
    <n v="377"/>
    <n v="110838"/>
    <n v="2695"/>
    <n v="0"/>
    <n v="212905"/>
    <n v="0"/>
  </r>
  <r>
    <s v="Happilo"/>
    <n v="55"/>
    <n v="120"/>
    <n v="105"/>
    <n v="190.90909090909091"/>
    <n v="12"/>
    <x v="0"/>
    <n v="4031"/>
    <n v="423255"/>
    <n v="6349"/>
    <n v="1713"/>
    <n v="501571"/>
    <n v="135327"/>
  </r>
  <r>
    <s v="Happilo"/>
    <n v="55"/>
    <n v="120"/>
    <n v="105"/>
    <n v="190.90909090909091"/>
    <n v="12"/>
    <x v="0"/>
    <n v="4031"/>
    <n v="423255"/>
    <n v="6349"/>
    <n v="1713"/>
    <n v="501571"/>
    <n v="135327"/>
  </r>
  <r>
    <s v="The Whole Truth"/>
    <n v="55"/>
    <n v="110"/>
    <n v="105"/>
    <n v="190.90909090909091"/>
    <n v="5"/>
    <x v="0"/>
    <n v="4031"/>
    <n v="423255"/>
    <n v="6349"/>
    <n v="1713"/>
    <n v="501571"/>
    <n v="135327"/>
  </r>
  <r>
    <s v="Happilo"/>
    <n v="100"/>
    <n v="295"/>
    <n v="191"/>
    <n v="191"/>
    <n v="35"/>
    <x v="0"/>
    <n v="1319"/>
    <n v="251929"/>
    <n v="3637"/>
    <n v="0"/>
    <n v="287323"/>
    <n v="0"/>
  </r>
  <r>
    <s v="The Whole Truth"/>
    <n v="67"/>
    <n v="135"/>
    <n v="128"/>
    <n v="191.044776119403"/>
    <n v="5"/>
    <x v="0"/>
    <n v="2605"/>
    <n v="333440"/>
    <n v="4923"/>
    <n v="287"/>
    <n v="388917"/>
    <n v="22673"/>
  </r>
  <r>
    <s v="The Whole Truth"/>
    <n v="67"/>
    <n v="135"/>
    <n v="128"/>
    <n v="191.044776119403"/>
    <n v="5"/>
    <x v="0"/>
    <n v="2605"/>
    <n v="333440"/>
    <n v="4923"/>
    <n v="287"/>
    <n v="388917"/>
    <n v="22673"/>
  </r>
  <r>
    <s v="The Whole Truth"/>
    <n v="156"/>
    <n v="330"/>
    <n v="299"/>
    <n v="191.66666666666671"/>
    <n v="9"/>
    <x v="0"/>
    <n v="1309"/>
    <n v="391391"/>
    <n v="3627"/>
    <n v="0"/>
    <n v="286533"/>
    <n v="0"/>
  </r>
  <r>
    <s v="The Whole Truth"/>
    <n v="156"/>
    <n v="330"/>
    <n v="299"/>
    <n v="191.66666666666671"/>
    <n v="9"/>
    <x v="0"/>
    <n v="1309"/>
    <n v="391391"/>
    <n v="3627"/>
    <n v="0"/>
    <n v="286533"/>
    <n v="0"/>
  </r>
  <r>
    <s v="The Whole Truth"/>
    <n v="156"/>
    <n v="330"/>
    <n v="299"/>
    <n v="191.66666666666671"/>
    <n v="9"/>
    <x v="0"/>
    <n v="1309"/>
    <n v="391391"/>
    <n v="3627"/>
    <n v="0"/>
    <n v="286533"/>
    <n v="0"/>
  </r>
  <r>
    <s v="The Whole Truth"/>
    <n v="156"/>
    <n v="330"/>
    <n v="299"/>
    <n v="191.66666666666671"/>
    <n v="9"/>
    <x v="0"/>
    <n v="1309"/>
    <n v="391391"/>
    <n v="3627"/>
    <n v="0"/>
    <n v="286533"/>
    <n v="0"/>
  </r>
  <r>
    <s v="The Whole Truth"/>
    <n v="156"/>
    <n v="330"/>
    <n v="299"/>
    <n v="191.66666666666671"/>
    <n v="9"/>
    <x v="0"/>
    <n v="1309"/>
    <n v="391391"/>
    <n v="3627"/>
    <n v="0"/>
    <n v="286533"/>
    <n v="0"/>
  </r>
  <r>
    <s v="Farmley"/>
    <n v="77"/>
    <n v="239"/>
    <n v="148"/>
    <n v="192.20779220779221"/>
    <n v="38"/>
    <x v="0"/>
    <n v="5626"/>
    <n v="832648"/>
    <n v="7944"/>
    <n v="3308"/>
    <n v="627576"/>
    <n v="261332"/>
  </r>
  <r>
    <s v="Farmley"/>
    <n v="77"/>
    <n v="199"/>
    <n v="148"/>
    <n v="192.20779220779221"/>
    <n v="26"/>
    <x v="0"/>
    <n v="1880"/>
    <n v="278240"/>
    <n v="4198"/>
    <n v="0"/>
    <n v="331642"/>
    <n v="0"/>
  </r>
  <r>
    <s v="The Whole Truth"/>
    <n v="216"/>
    <n v="440"/>
    <n v="419"/>
    <n v="193.9814814814815"/>
    <n v="5"/>
    <x v="0"/>
    <n v="1116"/>
    <n v="467604"/>
    <n v="3434"/>
    <n v="0"/>
    <n v="271286"/>
    <n v="0"/>
  </r>
  <r>
    <s v="Farmley"/>
    <n v="200"/>
    <n v="469"/>
    <n v="389"/>
    <n v="194.5"/>
    <n v="17"/>
    <x v="0"/>
    <n v="184"/>
    <n v="71576"/>
    <n v="2502"/>
    <n v="0"/>
    <n v="197658"/>
    <n v="0"/>
  </r>
  <r>
    <s v="Farmley"/>
    <n v="20"/>
    <n v="40"/>
    <n v="39"/>
    <n v="195"/>
    <n v="2"/>
    <x v="0"/>
    <n v="1630"/>
    <n v="63570"/>
    <n v="3948"/>
    <n v="0"/>
    <n v="311892"/>
    <n v="0"/>
  </r>
  <r>
    <s v="The Whole Truth"/>
    <n v="40"/>
    <n v="80"/>
    <n v="78"/>
    <n v="195"/>
    <n v="2"/>
    <x v="0"/>
    <n v="1698"/>
    <n v="132444"/>
    <n v="4016"/>
    <n v="0"/>
    <n v="317264"/>
    <n v="0"/>
  </r>
  <r>
    <s v="Farmley"/>
    <n v="21"/>
    <n v="50"/>
    <n v="41"/>
    <n v="195.23809523809521"/>
    <n v="18"/>
    <x v="0"/>
    <n v="12375"/>
    <n v="507375"/>
    <n v="14693"/>
    <n v="10057"/>
    <n v="1160747"/>
    <n v="794503"/>
  </r>
  <r>
    <s v="Farmley"/>
    <n v="21"/>
    <n v="50"/>
    <n v="41"/>
    <n v="195.23809523809521"/>
    <n v="18"/>
    <x v="0"/>
    <n v="12375"/>
    <n v="507375"/>
    <n v="14693"/>
    <n v="10057"/>
    <n v="1160747"/>
    <n v="794503"/>
  </r>
  <r>
    <s v="The Whole Truth"/>
    <n v="104"/>
    <n v="220"/>
    <n v="206"/>
    <n v="198.07692307692309"/>
    <n v="6"/>
    <x v="0"/>
    <n v="1602"/>
    <n v="330012"/>
    <n v="3920"/>
    <n v="0"/>
    <n v="309680"/>
    <n v="0"/>
  </r>
  <r>
    <s v="The Whole Truth"/>
    <n v="104"/>
    <n v="220"/>
    <n v="206"/>
    <n v="198.07692307692309"/>
    <n v="6"/>
    <x v="0"/>
    <n v="1602"/>
    <n v="330012"/>
    <n v="3920"/>
    <n v="0"/>
    <n v="309680"/>
    <n v="0"/>
  </r>
  <r>
    <s v="The Whole Truth"/>
    <n v="104"/>
    <n v="220"/>
    <n v="206"/>
    <n v="198.07692307692309"/>
    <n v="6"/>
    <x v="0"/>
    <n v="1602"/>
    <n v="330012"/>
    <n v="3920"/>
    <n v="0"/>
    <n v="309680"/>
    <n v="0"/>
  </r>
  <r>
    <s v="The Whole Truth"/>
    <n v="104"/>
    <n v="220"/>
    <n v="206"/>
    <n v="198.07692307692309"/>
    <n v="6"/>
    <x v="0"/>
    <n v="1602"/>
    <n v="330012"/>
    <n v="3920"/>
    <n v="0"/>
    <n v="309680"/>
    <n v="0"/>
  </r>
  <r>
    <s v="The Whole Truth"/>
    <n v="104"/>
    <n v="220"/>
    <n v="206"/>
    <n v="198.07692307692309"/>
    <n v="6"/>
    <x v="0"/>
    <n v="1602"/>
    <n v="330012"/>
    <n v="3920"/>
    <n v="0"/>
    <n v="309680"/>
    <n v="0"/>
  </r>
  <r>
    <s v="Farmley"/>
    <n v="150"/>
    <n v="379"/>
    <n v="300"/>
    <n v="200"/>
    <n v="21"/>
    <x v="0"/>
    <n v="153"/>
    <n v="45900"/>
    <n v="2471"/>
    <n v="0"/>
    <n v="195209"/>
    <n v="0"/>
  </r>
  <r>
    <s v="The Whole Truth"/>
    <n v="52"/>
    <n v="110"/>
    <n v="104"/>
    <n v="200"/>
    <n v="5"/>
    <x v="0"/>
    <n v="4031"/>
    <n v="419224"/>
    <n v="6349"/>
    <n v="1713"/>
    <n v="501571"/>
    <n v="135327"/>
  </r>
  <r>
    <s v="The Whole Truth"/>
    <n v="52"/>
    <n v="110"/>
    <n v="104"/>
    <n v="200"/>
    <n v="5"/>
    <x v="0"/>
    <n v="4031"/>
    <n v="419224"/>
    <n v="6349"/>
    <n v="1713"/>
    <n v="501571"/>
    <n v="135327"/>
  </r>
  <r>
    <s v="The Whole Truth"/>
    <n v="52"/>
    <n v="110"/>
    <n v="104"/>
    <n v="200"/>
    <n v="5"/>
    <x v="0"/>
    <n v="4031"/>
    <n v="419224"/>
    <n v="6349"/>
    <n v="1713"/>
    <n v="501571"/>
    <n v="135327"/>
  </r>
  <r>
    <s v="The Whole Truth"/>
    <n v="52"/>
    <n v="110"/>
    <n v="104"/>
    <n v="200"/>
    <n v="5"/>
    <x v="0"/>
    <n v="4031"/>
    <n v="419224"/>
    <n v="6349"/>
    <n v="1713"/>
    <n v="501571"/>
    <n v="135327"/>
  </r>
  <r>
    <s v="The Whole Truth"/>
    <n v="52"/>
    <n v="110"/>
    <n v="104"/>
    <n v="200"/>
    <n v="5"/>
    <x v="0"/>
    <n v="4031"/>
    <n v="419224"/>
    <n v="6349"/>
    <n v="1713"/>
    <n v="501571"/>
    <n v="135327"/>
  </r>
  <r>
    <s v="The Whole Truth"/>
    <n v="52"/>
    <n v="110"/>
    <n v="104"/>
    <n v="200"/>
    <n v="5"/>
    <x v="0"/>
    <n v="4031"/>
    <n v="419224"/>
    <n v="6349"/>
    <n v="1713"/>
    <n v="501571"/>
    <n v="135327"/>
  </r>
  <r>
    <s v="The Whole Truth"/>
    <n v="52"/>
    <n v="110"/>
    <n v="104"/>
    <n v="200"/>
    <n v="5"/>
    <x v="0"/>
    <n v="4031"/>
    <n v="419224"/>
    <n v="6349"/>
    <n v="1713"/>
    <n v="501571"/>
    <n v="135327"/>
  </r>
  <r>
    <s v="Farmley"/>
    <n v="60"/>
    <n v="150"/>
    <n v="122"/>
    <n v="203.33333333333329"/>
    <n v="19"/>
    <x v="0"/>
    <n v="3586"/>
    <n v="437492"/>
    <n v="5904"/>
    <n v="1268"/>
    <n v="466416"/>
    <n v="100172"/>
  </r>
  <r>
    <s v="Farmley"/>
    <n v="120"/>
    <n v="298"/>
    <n v="244"/>
    <n v="203.33333333333329"/>
    <n v="18"/>
    <x v="0"/>
    <n v="1801"/>
    <n v="439444"/>
    <n v="4119"/>
    <n v="0"/>
    <n v="325401"/>
    <n v="0"/>
  </r>
  <r>
    <s v="Farmley"/>
    <n v="40"/>
    <n v="100"/>
    <n v="82"/>
    <n v="205"/>
    <n v="18"/>
    <x v="0"/>
    <n v="3778"/>
    <n v="309796"/>
    <n v="6096"/>
    <n v="1460"/>
    <n v="481584"/>
    <n v="115340"/>
  </r>
  <r>
    <s v="Farmley"/>
    <n v="40"/>
    <n v="100"/>
    <n v="82"/>
    <n v="205"/>
    <n v="18"/>
    <x v="0"/>
    <n v="3778"/>
    <n v="309796"/>
    <n v="6096"/>
    <n v="1460"/>
    <n v="481584"/>
    <n v="115340"/>
  </r>
  <r>
    <s v="Happilo"/>
    <n v="68"/>
    <n v="199"/>
    <n v="140"/>
    <n v="205.88235294117649"/>
    <n v="30"/>
    <x v="0"/>
    <n v="5400"/>
    <n v="756000"/>
    <n v="7718"/>
    <n v="3082"/>
    <n v="609722"/>
    <n v="243478"/>
  </r>
  <r>
    <s v="Farmley"/>
    <n v="200"/>
    <n v="549"/>
    <n v="412"/>
    <n v="206"/>
    <n v="25"/>
    <x v="0"/>
    <n v="1274"/>
    <n v="524888"/>
    <n v="3592"/>
    <n v="0"/>
    <n v="283768"/>
    <n v="0"/>
  </r>
  <r>
    <s v="Farmley"/>
    <n v="200"/>
    <n v="549"/>
    <n v="415"/>
    <n v="207.5"/>
    <n v="24"/>
    <x v="0"/>
    <n v="1147"/>
    <n v="476005"/>
    <n v="3465"/>
    <n v="0"/>
    <n v="273735"/>
    <n v="0"/>
  </r>
  <r>
    <s v="Happilo"/>
    <n v="51"/>
    <n v="120"/>
    <n v="107"/>
    <n v="209.80392156862749"/>
    <n v="11"/>
    <x v="0"/>
    <n v="3254"/>
    <n v="348178"/>
    <n v="5572"/>
    <n v="936"/>
    <n v="440188"/>
    <n v="73944"/>
  </r>
  <r>
    <s v="Happilo"/>
    <n v="200"/>
    <n v="495"/>
    <n v="421"/>
    <n v="210.5"/>
    <n v="15"/>
    <x v="0"/>
    <n v="184"/>
    <n v="77464"/>
    <n v="2502"/>
    <n v="0"/>
    <n v="197658"/>
    <n v="0"/>
  </r>
  <r>
    <s v="Happilo"/>
    <n v="200"/>
    <n v="455"/>
    <n v="423"/>
    <n v="211.5"/>
    <n v="7"/>
    <x v="0"/>
    <n v="1036"/>
    <n v="438228"/>
    <n v="3354"/>
    <n v="0"/>
    <n v="264966"/>
    <n v="0"/>
  </r>
  <r>
    <s v="Farmley"/>
    <n v="150"/>
    <n v="379"/>
    <n v="319"/>
    <n v="212.66666666666671"/>
    <n v="16"/>
    <x v="0"/>
    <n v="169"/>
    <n v="53911"/>
    <n v="2487"/>
    <n v="0"/>
    <n v="196473"/>
    <n v="0"/>
  </r>
  <r>
    <s v="Farmley"/>
    <n v="150"/>
    <n v="379"/>
    <n v="319"/>
    <n v="212.66666666666671"/>
    <n v="16"/>
    <x v="0"/>
    <n v="169"/>
    <n v="53911"/>
    <n v="2487"/>
    <n v="0"/>
    <n v="196473"/>
    <n v="0"/>
  </r>
  <r>
    <s v="Farmley"/>
    <n v="77"/>
    <n v="239"/>
    <n v="165"/>
    <n v="214.28571428571431"/>
    <n v="31"/>
    <x v="0"/>
    <n v="5704"/>
    <n v="941160"/>
    <n v="8022"/>
    <n v="3386"/>
    <n v="633738"/>
    <n v="267494"/>
  </r>
  <r>
    <s v="Farmley"/>
    <n v="77"/>
    <n v="239"/>
    <n v="165"/>
    <n v="214.28571428571431"/>
    <n v="31"/>
    <x v="0"/>
    <n v="5704"/>
    <n v="941160"/>
    <n v="8022"/>
    <n v="3386"/>
    <n v="633738"/>
    <n v="267494"/>
  </r>
  <r>
    <s v="Farmley"/>
    <n v="200"/>
    <n v="499"/>
    <n v="429"/>
    <n v="214.5"/>
    <n v="14"/>
    <x v="0"/>
    <n v="184"/>
    <n v="78936"/>
    <n v="2502"/>
    <n v="0"/>
    <n v="197658"/>
    <n v="0"/>
  </r>
  <r>
    <s v="The Whole Truth"/>
    <n v="1005"/>
    <n v="2400"/>
    <n v="2160"/>
    <n v="214.9253731343284"/>
    <n v="10"/>
    <x v="2"/>
    <n v="543"/>
    <n v="1172880"/>
    <n v="2861"/>
    <n v="0"/>
    <n v="226019"/>
    <n v="0"/>
  </r>
  <r>
    <s v="Farmley"/>
    <n v="60"/>
    <n v="149"/>
    <n v="129"/>
    <n v="215"/>
    <n v="13"/>
    <x v="0"/>
    <n v="2644"/>
    <n v="341076"/>
    <n v="4962"/>
    <n v="326"/>
    <n v="391998"/>
    <n v="25754"/>
  </r>
  <r>
    <s v="Happilo"/>
    <n v="150"/>
    <n v="400"/>
    <n v="323"/>
    <n v="215.33333333333329"/>
    <n v="19"/>
    <x v="0"/>
    <n v="2923"/>
    <n v="944129"/>
    <n v="5241"/>
    <n v="605"/>
    <n v="414039"/>
    <n v="47795"/>
  </r>
  <r>
    <s v="Farmley"/>
    <n v="60"/>
    <n v="150"/>
    <n v="130"/>
    <n v="216.66666666666671"/>
    <n v="13"/>
    <x v="0"/>
    <n v="2644"/>
    <n v="343720"/>
    <n v="4962"/>
    <n v="326"/>
    <n v="391998"/>
    <n v="25754"/>
  </r>
  <r>
    <s v="The Whole Truth"/>
    <n v="156"/>
    <n v="375"/>
    <n v="339"/>
    <n v="217.30769230769229"/>
    <n v="10"/>
    <x v="0"/>
    <n v="1048"/>
    <n v="355272"/>
    <n v="3366"/>
    <n v="0"/>
    <n v="265914"/>
    <n v="0"/>
  </r>
  <r>
    <s v="Farmley"/>
    <n v="154"/>
    <n v="478"/>
    <n v="336"/>
    <n v="218.18181818181819"/>
    <n v="30"/>
    <x v="0"/>
    <n v="2951"/>
    <n v="991536"/>
    <n v="5269"/>
    <n v="633"/>
    <n v="416251"/>
    <n v="50007"/>
  </r>
  <r>
    <s v="Farmley"/>
    <n v="154"/>
    <n v="478"/>
    <n v="337"/>
    <n v="218.83116883116881"/>
    <n v="29"/>
    <x v="0"/>
    <n v="2957"/>
    <n v="996509"/>
    <n v="5275"/>
    <n v="639"/>
    <n v="416725"/>
    <n v="50481"/>
  </r>
  <r>
    <s v="Farmley"/>
    <n v="40"/>
    <n v="100"/>
    <n v="88"/>
    <n v="220"/>
    <n v="12"/>
    <x v="0"/>
    <n v="2178"/>
    <n v="191664"/>
    <n v="4496"/>
    <n v="0"/>
    <n v="355184"/>
    <n v="0"/>
  </r>
  <r>
    <s v="Happilo"/>
    <n v="80"/>
    <n v="239"/>
    <n v="176"/>
    <n v="220"/>
    <n v="26"/>
    <x v="0"/>
    <n v="2184"/>
    <n v="384384"/>
    <n v="4502"/>
    <n v="0"/>
    <n v="355658"/>
    <n v="0"/>
  </r>
  <r>
    <s v="Happilo"/>
    <n v="55"/>
    <n v="139"/>
    <n v="121"/>
    <n v="220"/>
    <n v="13"/>
    <x v="0"/>
    <n v="2644"/>
    <n v="319924"/>
    <n v="4962"/>
    <n v="326"/>
    <n v="391998"/>
    <n v="25754"/>
  </r>
  <r>
    <s v="Farmley"/>
    <n v="77"/>
    <n v="239"/>
    <n v="170"/>
    <n v="220.77922077922079"/>
    <n v="29"/>
    <x v="0"/>
    <n v="5691"/>
    <n v="967470"/>
    <n v="8009"/>
    <n v="3373"/>
    <n v="632711"/>
    <n v="266467"/>
  </r>
  <r>
    <s v="Farmley"/>
    <n v="77"/>
    <n v="239"/>
    <n v="170"/>
    <n v="220.77922077922079"/>
    <n v="29"/>
    <x v="0"/>
    <n v="5691"/>
    <n v="967470"/>
    <n v="8009"/>
    <n v="3373"/>
    <n v="632711"/>
    <n v="266467"/>
  </r>
  <r>
    <s v="Happilo"/>
    <n v="80"/>
    <n v="239"/>
    <n v="177"/>
    <n v="221.25"/>
    <n v="26"/>
    <x v="0"/>
    <n v="2184"/>
    <n v="386568"/>
    <n v="4502"/>
    <n v="0"/>
    <n v="355658"/>
    <n v="0"/>
  </r>
  <r>
    <s v="The Whole Truth"/>
    <n v="648"/>
    <n v="1590"/>
    <n v="1436"/>
    <n v="221.60493827160491"/>
    <n v="10"/>
    <x v="1"/>
    <n v="1227"/>
    <n v="1761972"/>
    <n v="3545"/>
    <n v="0"/>
    <n v="280055"/>
    <n v="0"/>
  </r>
  <r>
    <s v="The Whole Truth"/>
    <n v="201"/>
    <n v="495"/>
    <n v="447"/>
    <n v="222.38805970149249"/>
    <n v="10"/>
    <x v="0"/>
    <n v="994"/>
    <n v="444318"/>
    <n v="3312"/>
    <n v="0"/>
    <n v="261648"/>
    <n v="0"/>
  </r>
  <r>
    <s v="The Whole Truth"/>
    <n v="201"/>
    <n v="495"/>
    <n v="447"/>
    <n v="222.38805970149249"/>
    <n v="10"/>
    <x v="0"/>
    <n v="994"/>
    <n v="444318"/>
    <n v="3312"/>
    <n v="0"/>
    <n v="261648"/>
    <n v="0"/>
  </r>
  <r>
    <s v="The Whole Truth"/>
    <n v="201"/>
    <n v="495"/>
    <n v="447"/>
    <n v="222.38805970149249"/>
    <n v="10"/>
    <x v="0"/>
    <n v="994"/>
    <n v="444318"/>
    <n v="3312"/>
    <n v="0"/>
    <n v="261648"/>
    <n v="0"/>
  </r>
  <r>
    <s v="The Whole Truth"/>
    <n v="165"/>
    <n v="405"/>
    <n v="367"/>
    <n v="222.42424242424241"/>
    <n v="9"/>
    <x v="0"/>
    <n v="1080"/>
    <n v="396360"/>
    <n v="3398"/>
    <n v="0"/>
    <n v="268442"/>
    <n v="0"/>
  </r>
  <r>
    <s v="Farmley"/>
    <n v="200"/>
    <n v="732"/>
    <n v="447"/>
    <n v="223.5"/>
    <n v="39"/>
    <x v="0"/>
    <n v="868"/>
    <n v="387996"/>
    <n v="3186"/>
    <n v="0"/>
    <n v="251694"/>
    <n v="0"/>
  </r>
  <r>
    <s v="The Whole Truth"/>
    <n v="104"/>
    <n v="250"/>
    <n v="233"/>
    <n v="224.03846153846149"/>
    <n v="7"/>
    <x v="0"/>
    <n v="1549"/>
    <n v="360917"/>
    <n v="3867"/>
    <n v="0"/>
    <n v="305493"/>
    <n v="0"/>
  </r>
  <r>
    <s v="Happilo"/>
    <n v="80"/>
    <n v="225"/>
    <n v="180"/>
    <n v="225"/>
    <n v="20"/>
    <x v="0"/>
    <n v="1459"/>
    <n v="262620"/>
    <n v="3777"/>
    <n v="0"/>
    <n v="298383"/>
    <n v="0"/>
  </r>
  <r>
    <s v="Happilo"/>
    <n v="80"/>
    <n v="225"/>
    <n v="180"/>
    <n v="225"/>
    <n v="20"/>
    <x v="0"/>
    <n v="1459"/>
    <n v="262620"/>
    <n v="3777"/>
    <n v="0"/>
    <n v="298383"/>
    <n v="0"/>
  </r>
  <r>
    <s v="The Whole Truth"/>
    <n v="335"/>
    <n v="800"/>
    <n v="760"/>
    <n v="226.86567164179101"/>
    <n v="5"/>
    <x v="1"/>
    <n v="1100"/>
    <n v="836000"/>
    <n v="3418"/>
    <n v="0"/>
    <n v="270022"/>
    <n v="0"/>
  </r>
  <r>
    <s v="The Whole Truth"/>
    <n v="432"/>
    <n v="1060"/>
    <n v="989"/>
    <n v="228.93518518518519"/>
    <n v="7"/>
    <x v="1"/>
    <n v="1227"/>
    <n v="1213503"/>
    <n v="3545"/>
    <n v="0"/>
    <n v="280055"/>
    <n v="0"/>
  </r>
  <r>
    <s v="The Whole Truth"/>
    <n v="134"/>
    <n v="330"/>
    <n v="308"/>
    <n v="229.85074626865671"/>
    <n v="7"/>
    <x v="0"/>
    <n v="1309"/>
    <n v="403172"/>
    <n v="3627"/>
    <n v="0"/>
    <n v="286533"/>
    <n v="0"/>
  </r>
  <r>
    <s v="The Whole Truth"/>
    <n v="134"/>
    <n v="330"/>
    <n v="308"/>
    <n v="229.85074626865671"/>
    <n v="7"/>
    <x v="0"/>
    <n v="1309"/>
    <n v="403172"/>
    <n v="3627"/>
    <n v="0"/>
    <n v="286533"/>
    <n v="0"/>
  </r>
  <r>
    <s v="The Whole Truth"/>
    <n v="134"/>
    <n v="330"/>
    <n v="308"/>
    <n v="229.85074626865671"/>
    <n v="7"/>
    <x v="0"/>
    <n v="1309"/>
    <n v="403172"/>
    <n v="3627"/>
    <n v="0"/>
    <n v="286533"/>
    <n v="0"/>
  </r>
  <r>
    <s v="The Whole Truth"/>
    <n v="110"/>
    <n v="270"/>
    <n v="253"/>
    <n v="230"/>
    <n v="6"/>
    <x v="0"/>
    <n v="168"/>
    <n v="42504"/>
    <n v="2486"/>
    <n v="0"/>
    <n v="196394"/>
    <n v="0"/>
  </r>
  <r>
    <s v="Farmley"/>
    <n v="110"/>
    <n v="318"/>
    <n v="255"/>
    <n v="231.81818181818181"/>
    <n v="20"/>
    <x v="0"/>
    <n v="0"/>
    <n v="0"/>
    <n v="2318"/>
    <n v="0"/>
    <n v="183122"/>
    <n v="0"/>
  </r>
  <r>
    <s v="Farmley"/>
    <n v="154"/>
    <n v="478"/>
    <n v="358"/>
    <n v="232.46753246753249"/>
    <n v="25"/>
    <x v="0"/>
    <n v="353"/>
    <n v="126374"/>
    <n v="2671"/>
    <n v="0"/>
    <n v="211009"/>
    <n v="0"/>
  </r>
  <r>
    <s v="The Whole Truth"/>
    <n v="55"/>
    <n v="135"/>
    <n v="128"/>
    <n v="232.72727272727269"/>
    <n v="5"/>
    <x v="0"/>
    <n v="2644"/>
    <n v="338432"/>
    <n v="4962"/>
    <n v="326"/>
    <n v="391998"/>
    <n v="25754"/>
  </r>
  <r>
    <s v="The Whole Truth"/>
    <n v="216"/>
    <n v="530"/>
    <n v="504"/>
    <n v="233.33333333333329"/>
    <n v="5"/>
    <x v="0"/>
    <n v="1030"/>
    <n v="519120"/>
    <n v="3348"/>
    <n v="0"/>
    <n v="264492"/>
    <n v="0"/>
  </r>
  <r>
    <s v="The Whole Truth"/>
    <n v="67"/>
    <n v="165"/>
    <n v="157"/>
    <n v="234.32835820895519"/>
    <n v="5"/>
    <x v="0"/>
    <n v="3018"/>
    <n v="473826"/>
    <n v="5336"/>
    <n v="700"/>
    <n v="421544"/>
    <n v="55300"/>
  </r>
  <r>
    <s v="The Whole Truth"/>
    <n v="67"/>
    <n v="165"/>
    <n v="157"/>
    <n v="234.32835820895519"/>
    <n v="5"/>
    <x v="0"/>
    <n v="3018"/>
    <n v="473826"/>
    <n v="5336"/>
    <n v="700"/>
    <n v="421544"/>
    <n v="55300"/>
  </r>
  <r>
    <s v="The Whole Truth"/>
    <n v="67"/>
    <n v="165"/>
    <n v="157"/>
    <n v="234.32835820895519"/>
    <n v="5"/>
    <x v="0"/>
    <n v="3018"/>
    <n v="473826"/>
    <n v="5336"/>
    <n v="700"/>
    <n v="421544"/>
    <n v="55300"/>
  </r>
  <r>
    <s v="The Whole Truth"/>
    <n v="67"/>
    <n v="165"/>
    <n v="157"/>
    <n v="234.32835820895519"/>
    <n v="4"/>
    <x v="0"/>
    <n v="3035"/>
    <n v="476495"/>
    <n v="5353"/>
    <n v="717"/>
    <n v="422887"/>
    <n v="56643"/>
  </r>
  <r>
    <s v="The Whole Truth"/>
    <n v="67"/>
    <n v="165"/>
    <n v="157"/>
    <n v="234.32835820895519"/>
    <n v="4"/>
    <x v="0"/>
    <n v="3035"/>
    <n v="476495"/>
    <n v="5353"/>
    <n v="717"/>
    <n v="422887"/>
    <n v="56643"/>
  </r>
  <r>
    <s v="Farmley"/>
    <n v="55"/>
    <n v="159"/>
    <n v="129"/>
    <n v="234.5454545454545"/>
    <n v="19"/>
    <x v="0"/>
    <n v="3586"/>
    <n v="462594"/>
    <n v="5904"/>
    <n v="1268"/>
    <n v="466416"/>
    <n v="100172"/>
  </r>
  <r>
    <s v="The Whole Truth"/>
    <n v="52"/>
    <n v="125"/>
    <n v="122"/>
    <n v="234.61538461538461"/>
    <n v="2"/>
    <x v="0"/>
    <n v="2661"/>
    <n v="324642"/>
    <n v="4979"/>
    <n v="343"/>
    <n v="393341"/>
    <n v="27097"/>
  </r>
  <r>
    <s v="Farmley"/>
    <n v="77"/>
    <n v="239"/>
    <n v="181"/>
    <n v="235.0649350649351"/>
    <n v="24"/>
    <x v="0"/>
    <n v="1419"/>
    <n v="256839"/>
    <n v="3737"/>
    <n v="0"/>
    <n v="295223"/>
    <n v="0"/>
  </r>
  <r>
    <s v="Farmley"/>
    <n v="60"/>
    <n v="150"/>
    <n v="142"/>
    <n v="236.66666666666671"/>
    <n v="5"/>
    <x v="0"/>
    <n v="2644"/>
    <n v="375448"/>
    <n v="4962"/>
    <n v="326"/>
    <n v="391998"/>
    <n v="25754"/>
  </r>
  <r>
    <s v="Farmley"/>
    <n v="60"/>
    <n v="150"/>
    <n v="142"/>
    <n v="236.66666666666671"/>
    <n v="5"/>
    <x v="0"/>
    <n v="2644"/>
    <n v="375448"/>
    <n v="4962"/>
    <n v="326"/>
    <n v="391998"/>
    <n v="25754"/>
  </r>
  <r>
    <s v="Farmley"/>
    <n v="40"/>
    <n v="100"/>
    <n v="95"/>
    <n v="237.5"/>
    <n v="5"/>
    <x v="0"/>
    <n v="2178"/>
    <n v="206910"/>
    <n v="4496"/>
    <n v="0"/>
    <n v="355184"/>
    <n v="0"/>
  </r>
  <r>
    <s v="Happilo"/>
    <n v="80"/>
    <n v="239"/>
    <n v="191"/>
    <n v="238.75"/>
    <n v="20"/>
    <x v="0"/>
    <n v="1438"/>
    <n v="274658"/>
    <n v="3756"/>
    <n v="0"/>
    <n v="296724"/>
    <n v="0"/>
  </r>
  <r>
    <s v="Happilo"/>
    <n v="80"/>
    <n v="239"/>
    <n v="192"/>
    <n v="240"/>
    <n v="20"/>
    <x v="0"/>
    <n v="1438"/>
    <n v="276096"/>
    <n v="3756"/>
    <n v="0"/>
    <n v="296724"/>
    <n v="0"/>
  </r>
  <r>
    <s v="Happilo"/>
    <n v="80"/>
    <n v="239"/>
    <n v="192"/>
    <n v="240"/>
    <n v="20"/>
    <x v="0"/>
    <n v="1438"/>
    <n v="276096"/>
    <n v="3756"/>
    <n v="0"/>
    <n v="296724"/>
    <n v="0"/>
  </r>
  <r>
    <s v="The Whole Truth"/>
    <n v="201"/>
    <n v="540"/>
    <n v="488"/>
    <n v="242.78606965174129"/>
    <n v="10"/>
    <x v="0"/>
    <n v="994"/>
    <n v="485072"/>
    <n v="3312"/>
    <n v="0"/>
    <n v="261648"/>
    <n v="0"/>
  </r>
  <r>
    <s v="Farmley"/>
    <n v="72"/>
    <n v="198"/>
    <n v="176"/>
    <n v="244.44444444444451"/>
    <n v="11"/>
    <x v="0"/>
    <n v="1364"/>
    <n v="240064"/>
    <n v="3682"/>
    <n v="0"/>
    <n v="290878"/>
    <n v="0"/>
  </r>
  <r>
    <s v="Farmley"/>
    <n v="72"/>
    <n v="198"/>
    <n v="176"/>
    <n v="244.44444444444451"/>
    <n v="11"/>
    <x v="0"/>
    <n v="1364"/>
    <n v="240064"/>
    <n v="3682"/>
    <n v="0"/>
    <n v="290878"/>
    <n v="0"/>
  </r>
  <r>
    <s v="Farmley"/>
    <n v="20"/>
    <n v="50"/>
    <n v="49"/>
    <n v="245"/>
    <n v="2"/>
    <x v="0"/>
    <n v="1660"/>
    <n v="81340"/>
    <n v="3978"/>
    <n v="0"/>
    <n v="314262"/>
    <n v="0"/>
  </r>
  <r>
    <s v="Farmley"/>
    <n v="20"/>
    <n v="50"/>
    <n v="49"/>
    <n v="245"/>
    <n v="2"/>
    <x v="0"/>
    <n v="1660"/>
    <n v="81340"/>
    <n v="3978"/>
    <n v="0"/>
    <n v="314262"/>
    <n v="0"/>
  </r>
  <r>
    <s v="Farmley"/>
    <n v="20"/>
    <n v="50"/>
    <n v="49"/>
    <n v="245"/>
    <n v="2"/>
    <x v="0"/>
    <n v="1660"/>
    <n v="81340"/>
    <n v="3978"/>
    <n v="0"/>
    <n v="314262"/>
    <n v="0"/>
  </r>
  <r>
    <s v="Farmley"/>
    <n v="20"/>
    <n v="50"/>
    <n v="49"/>
    <n v="245"/>
    <n v="2"/>
    <x v="0"/>
    <n v="1660"/>
    <n v="81340"/>
    <n v="3978"/>
    <n v="0"/>
    <n v="314262"/>
    <n v="0"/>
  </r>
  <r>
    <s v="Farmley"/>
    <n v="36"/>
    <n v="99"/>
    <n v="89"/>
    <n v="247.2222222222222"/>
    <n v="10"/>
    <x v="0"/>
    <n v="3143"/>
    <n v="279727"/>
    <n v="5461"/>
    <n v="825"/>
    <n v="431419"/>
    <n v="65175"/>
  </r>
  <r>
    <s v="Farmley"/>
    <n v="36"/>
    <n v="99"/>
    <n v="89"/>
    <n v="247.2222222222222"/>
    <n v="10"/>
    <x v="0"/>
    <n v="3143"/>
    <n v="279727"/>
    <n v="5461"/>
    <n v="825"/>
    <n v="431419"/>
    <n v="65175"/>
  </r>
  <r>
    <s v="Farmley"/>
    <n v="55"/>
    <n v="159"/>
    <n v="137"/>
    <n v="249.09090909090909"/>
    <n v="14"/>
    <x v="0"/>
    <n v="1179"/>
    <n v="161523"/>
    <n v="3497"/>
    <n v="0"/>
    <n v="276263"/>
    <n v="0"/>
  </r>
  <r>
    <s v="Farmley"/>
    <n v="55"/>
    <n v="159"/>
    <n v="137"/>
    <n v="249.09090909090909"/>
    <n v="14"/>
    <x v="0"/>
    <n v="1179"/>
    <n v="161523"/>
    <n v="3497"/>
    <n v="0"/>
    <n v="276263"/>
    <n v="0"/>
  </r>
  <r>
    <s v="Happilo"/>
    <n v="20"/>
    <n v="60"/>
    <n v="50"/>
    <n v="250"/>
    <n v="17"/>
    <x v="0"/>
    <n v="9453"/>
    <n v="472650"/>
    <n v="11771"/>
    <n v="7135"/>
    <n v="929909"/>
    <n v="563665"/>
  </r>
  <r>
    <s v="The Whole Truth"/>
    <n v="134"/>
    <n v="360"/>
    <n v="336"/>
    <n v="250.74626865671641"/>
    <n v="7"/>
    <x v="0"/>
    <n v="1036"/>
    <n v="348096"/>
    <n v="3354"/>
    <n v="0"/>
    <n v="264966"/>
    <n v="0"/>
  </r>
  <r>
    <s v="Farmley"/>
    <n v="154"/>
    <n v="478"/>
    <n v="391"/>
    <n v="253.89610389610391"/>
    <n v="18"/>
    <x v="0"/>
    <n v="2837"/>
    <n v="1109267"/>
    <n v="5155"/>
    <n v="519"/>
    <n v="407245"/>
    <n v="41001"/>
  </r>
  <r>
    <s v="Farmley"/>
    <n v="154"/>
    <n v="478"/>
    <n v="391"/>
    <n v="253.89610389610391"/>
    <n v="18"/>
    <x v="0"/>
    <n v="2837"/>
    <n v="1109267"/>
    <n v="5155"/>
    <n v="519"/>
    <n v="407245"/>
    <n v="41001"/>
  </r>
  <r>
    <s v="Farmley"/>
    <n v="154"/>
    <n v="478"/>
    <n v="393"/>
    <n v="255.19480519480521"/>
    <n v="18"/>
    <x v="0"/>
    <n v="2837"/>
    <n v="1114941"/>
    <n v="5155"/>
    <n v="519"/>
    <n v="407245"/>
    <n v="41001"/>
  </r>
  <r>
    <s v="Farmley"/>
    <n v="154"/>
    <n v="478"/>
    <n v="393"/>
    <n v="255.19480519480521"/>
    <n v="18"/>
    <x v="0"/>
    <n v="2837"/>
    <n v="1114941"/>
    <n v="5155"/>
    <n v="519"/>
    <n v="407245"/>
    <n v="41001"/>
  </r>
  <r>
    <s v="The Whole Truth"/>
    <n v="201"/>
    <n v="570"/>
    <n v="515"/>
    <n v="256.21890547263678"/>
    <n v="10"/>
    <x v="0"/>
    <n v="1910"/>
    <n v="983650"/>
    <n v="4228"/>
    <n v="0"/>
    <n v="334012"/>
    <n v="0"/>
  </r>
  <r>
    <s v="The Whole Truth"/>
    <n v="67"/>
    <n v="180"/>
    <n v="172"/>
    <n v="256.71641791044777"/>
    <n v="4"/>
    <x v="0"/>
    <n v="3035"/>
    <n v="522020"/>
    <n v="5353"/>
    <n v="717"/>
    <n v="422887"/>
    <n v="56643"/>
  </r>
  <r>
    <s v="Farmley"/>
    <n v="77"/>
    <n v="239"/>
    <n v="199"/>
    <n v="258.44155844155841"/>
    <n v="17"/>
    <x v="0"/>
    <n v="740"/>
    <n v="147260"/>
    <n v="3058"/>
    <n v="0"/>
    <n v="241582"/>
    <n v="0"/>
  </r>
  <r>
    <s v="Farmley"/>
    <n v="77"/>
    <n v="239"/>
    <n v="199"/>
    <n v="258.44155844155841"/>
    <n v="17"/>
    <x v="0"/>
    <n v="740"/>
    <n v="147260"/>
    <n v="3058"/>
    <n v="0"/>
    <n v="241582"/>
    <n v="0"/>
  </r>
  <r>
    <s v="Farmley"/>
    <n v="77"/>
    <n v="239"/>
    <n v="199"/>
    <n v="258.44155844155841"/>
    <n v="17"/>
    <x v="0"/>
    <n v="740"/>
    <n v="147260"/>
    <n v="3058"/>
    <n v="0"/>
    <n v="241582"/>
    <n v="0"/>
  </r>
  <r>
    <s v="Farmley"/>
    <n v="77"/>
    <n v="239"/>
    <n v="199"/>
    <n v="258.44155844155841"/>
    <n v="17"/>
    <x v="0"/>
    <n v="740"/>
    <n v="147260"/>
    <n v="3058"/>
    <n v="0"/>
    <n v="241582"/>
    <n v="0"/>
  </r>
  <r>
    <s v="Farmley"/>
    <n v="110"/>
    <n v="318"/>
    <n v="288"/>
    <n v="261.81818181818181"/>
    <n v="9"/>
    <x v="0"/>
    <n v="415"/>
    <n v="119520"/>
    <n v="2733"/>
    <n v="0"/>
    <n v="215907"/>
    <n v="0"/>
  </r>
  <r>
    <s v="Farmley"/>
    <n v="110"/>
    <n v="318"/>
    <n v="288"/>
    <n v="261.81818181818181"/>
    <n v="9"/>
    <x v="0"/>
    <n v="415"/>
    <n v="119520"/>
    <n v="2733"/>
    <n v="0"/>
    <n v="215907"/>
    <n v="0"/>
  </r>
  <r>
    <s v="Farmley"/>
    <n v="110"/>
    <n v="318"/>
    <n v="288"/>
    <n v="261.81818181818181"/>
    <n v="9"/>
    <x v="0"/>
    <n v="415"/>
    <n v="119520"/>
    <n v="2733"/>
    <n v="0"/>
    <n v="215907"/>
    <n v="0"/>
  </r>
  <r>
    <s v="Farmley"/>
    <n v="110"/>
    <n v="318"/>
    <n v="288"/>
    <n v="261.81818181818181"/>
    <n v="9"/>
    <x v="0"/>
    <n v="415"/>
    <n v="119520"/>
    <n v="2733"/>
    <n v="0"/>
    <n v="215907"/>
    <n v="0"/>
  </r>
  <r>
    <s v="The Whole Truth"/>
    <n v="134"/>
    <n v="380"/>
    <n v="355"/>
    <n v="264.92537313432842"/>
    <n v="7"/>
    <x v="0"/>
    <n v="1048"/>
    <n v="372040"/>
    <n v="3366"/>
    <n v="0"/>
    <n v="265914"/>
    <n v="0"/>
  </r>
  <r>
    <s v="The Whole Truth"/>
    <n v="1000"/>
    <n v="2675"/>
    <n v="2665"/>
    <n v="266.5"/>
    <n v="1"/>
    <x v="2"/>
    <n v="543"/>
    <n v="1447095"/>
    <n v="2861"/>
    <n v="0"/>
    <n v="226019"/>
    <n v="0"/>
  </r>
  <r>
    <s v="The Whole Truth"/>
    <n v="1000"/>
    <n v="2675"/>
    <n v="2665"/>
    <n v="266.5"/>
    <n v="1"/>
    <x v="2"/>
    <n v="543"/>
    <n v="1447095"/>
    <n v="2861"/>
    <n v="0"/>
    <n v="226019"/>
    <n v="0"/>
  </r>
  <r>
    <s v="The Whole Truth"/>
    <n v="1000"/>
    <n v="2675"/>
    <n v="2675"/>
    <n v="267.5"/>
    <n v="0"/>
    <x v="2"/>
    <n v="543"/>
    <n v="1452525"/>
    <n v="2861"/>
    <n v="0"/>
    <n v="226019"/>
    <n v="0"/>
  </r>
  <r>
    <s v="Farmley"/>
    <n v="51"/>
    <n v="159"/>
    <n v="137"/>
    <n v="268.62745098039221"/>
    <n v="14"/>
    <x v="0"/>
    <n v="401"/>
    <n v="54937"/>
    <n v="2719"/>
    <n v="0"/>
    <n v="214801"/>
    <n v="0"/>
  </r>
  <r>
    <s v="Farmley"/>
    <n v="51"/>
    <n v="159"/>
    <n v="137"/>
    <n v="268.62745098039221"/>
    <n v="14"/>
    <x v="0"/>
    <n v="401"/>
    <n v="54937"/>
    <n v="2719"/>
    <n v="0"/>
    <n v="214801"/>
    <n v="0"/>
  </r>
  <r>
    <s v="The Whole Truth"/>
    <n v="67"/>
    <n v="190"/>
    <n v="181"/>
    <n v="270.14925373134332"/>
    <n v="5"/>
    <x v="0"/>
    <n v="3037"/>
    <n v="549697"/>
    <n v="5355"/>
    <n v="719"/>
    <n v="423045"/>
    <n v="56801"/>
  </r>
  <r>
    <s v="Farmley"/>
    <n v="55"/>
    <n v="159"/>
    <n v="149"/>
    <n v="270.90909090909088"/>
    <n v="6"/>
    <x v="0"/>
    <n v="2644"/>
    <n v="393956"/>
    <n v="4962"/>
    <n v="326"/>
    <n v="391998"/>
    <n v="25754"/>
  </r>
  <r>
    <s v="Farmley"/>
    <n v="55"/>
    <n v="159"/>
    <n v="149"/>
    <n v="270.90909090909088"/>
    <n v="6"/>
    <x v="0"/>
    <n v="2644"/>
    <n v="393956"/>
    <n v="4962"/>
    <n v="326"/>
    <n v="391998"/>
    <n v="25754"/>
  </r>
  <r>
    <s v="Farmley"/>
    <n v="55"/>
    <n v="159"/>
    <n v="149"/>
    <n v="270.90909090909088"/>
    <n v="6"/>
    <x v="0"/>
    <n v="2644"/>
    <n v="393956"/>
    <n v="4962"/>
    <n v="326"/>
    <n v="391998"/>
    <n v="25754"/>
  </r>
  <r>
    <s v="Farmley"/>
    <n v="55"/>
    <n v="159"/>
    <n v="149"/>
    <n v="270.90909090909088"/>
    <n v="6"/>
    <x v="0"/>
    <n v="2644"/>
    <n v="393956"/>
    <n v="4962"/>
    <n v="326"/>
    <n v="391998"/>
    <n v="25754"/>
  </r>
  <r>
    <s v="Farmley"/>
    <n v="55"/>
    <n v="159"/>
    <n v="149"/>
    <n v="270.90909090909088"/>
    <n v="6"/>
    <x v="0"/>
    <n v="2644"/>
    <n v="393956"/>
    <n v="4962"/>
    <n v="326"/>
    <n v="391998"/>
    <n v="25754"/>
  </r>
  <r>
    <s v="Farmley"/>
    <n v="55"/>
    <n v="159"/>
    <n v="149"/>
    <n v="270.90909090909088"/>
    <n v="6"/>
    <x v="0"/>
    <n v="2644"/>
    <n v="393956"/>
    <n v="4962"/>
    <n v="326"/>
    <n v="391998"/>
    <n v="25754"/>
  </r>
  <r>
    <s v="Farmley"/>
    <n v="18"/>
    <n v="50"/>
    <n v="50"/>
    <n v="277.77777777777783"/>
    <n v="0"/>
    <x v="0"/>
    <n v="2318"/>
    <n v="115900"/>
    <n v="4636"/>
    <n v="0"/>
    <n v="366244"/>
    <n v="0"/>
  </r>
  <r>
    <s v="Farmley"/>
    <n v="18"/>
    <n v="50"/>
    <n v="50"/>
    <n v="277.77777777777783"/>
    <n v="0"/>
    <x v="0"/>
    <n v="2318"/>
    <n v="115900"/>
    <n v="4636"/>
    <n v="0"/>
    <n v="366244"/>
    <n v="0"/>
  </r>
  <r>
    <s v="Farmley"/>
    <n v="200"/>
    <n v="800"/>
    <n v="576"/>
    <n v="288"/>
    <n v="28"/>
    <x v="0"/>
    <n v="3226"/>
    <n v="1858176"/>
    <n v="5544"/>
    <n v="908"/>
    <n v="437976"/>
    <n v="71732"/>
  </r>
  <r>
    <s v="The Whole Truth"/>
    <n v="28"/>
    <n v="90"/>
    <n v="84"/>
    <n v="300"/>
    <n v="7"/>
    <x v="0"/>
    <n v="2255"/>
    <n v="189420"/>
    <n v="4573"/>
    <n v="0"/>
    <n v="361267"/>
    <n v="0"/>
  </r>
  <r>
    <s v="The Whole Truth"/>
    <n v="2000"/>
    <n v="6650"/>
    <n v="6650"/>
    <n v="332.5"/>
    <n v="0"/>
    <x v="3"/>
    <n v="543"/>
    <n v="3610950"/>
    <n v="2861"/>
    <n v="0"/>
    <n v="226019"/>
    <n v="0"/>
  </r>
  <r>
    <s v="The Whole Truth"/>
    <n v="210"/>
    <n v="699"/>
    <n v="699"/>
    <n v="332.85714285714289"/>
    <n v="0"/>
    <x v="1"/>
    <n v="1207"/>
    <n v="843693"/>
    <n v="3525"/>
    <n v="0"/>
    <n v="278475"/>
    <n v="0"/>
  </r>
  <r>
    <s v="The Whole Truth"/>
    <n v="210"/>
    <n v="699"/>
    <n v="699"/>
    <n v="332.85714285714289"/>
    <n v="0"/>
    <x v="1"/>
    <n v="1207"/>
    <n v="843693"/>
    <n v="3525"/>
    <n v="0"/>
    <n v="278475"/>
    <n v="0"/>
  </r>
  <r>
    <s v="The Whole Truth"/>
    <n v="80"/>
    <n v="310"/>
    <n v="267"/>
    <n v="333.75"/>
    <n v="14"/>
    <x v="0"/>
    <n v="0"/>
    <n v="0"/>
    <n v="2318"/>
    <n v="0"/>
    <n v="183122"/>
    <n v="0"/>
  </r>
  <r>
    <s v="The Whole Truth"/>
    <n v="80"/>
    <n v="310"/>
    <n v="267"/>
    <n v="333.75"/>
    <n v="13"/>
    <x v="0"/>
    <n v="485"/>
    <n v="129495"/>
    <n v="2803"/>
    <n v="0"/>
    <n v="221437"/>
    <n v="0"/>
  </r>
  <r>
    <s v="The Whole Truth"/>
    <n v="80"/>
    <n v="310"/>
    <n v="267"/>
    <n v="333.75"/>
    <n v="13"/>
    <x v="0"/>
    <n v="485"/>
    <n v="129495"/>
    <n v="2803"/>
    <n v="0"/>
    <n v="221437"/>
    <n v="0"/>
  </r>
  <r>
    <s v="The Whole Truth"/>
    <n v="80"/>
    <n v="310"/>
    <n v="273"/>
    <n v="341.25"/>
    <n v="12"/>
    <x v="0"/>
    <n v="485"/>
    <n v="132405"/>
    <n v="2803"/>
    <n v="0"/>
    <n v="221437"/>
    <n v="0"/>
  </r>
  <r>
    <s v="The Whole Truth"/>
    <n v="80"/>
    <n v="310"/>
    <n v="273"/>
    <n v="341.25"/>
    <n v="12"/>
    <x v="0"/>
    <n v="485"/>
    <n v="132405"/>
    <n v="2803"/>
    <n v="0"/>
    <n v="221437"/>
    <n v="0"/>
  </r>
  <r>
    <s v="The Whole Truth"/>
    <n v="80"/>
    <n v="310"/>
    <n v="273"/>
    <n v="341.25"/>
    <n v="12"/>
    <x v="0"/>
    <n v="485"/>
    <n v="132405"/>
    <n v="2803"/>
    <n v="0"/>
    <n v="221437"/>
    <n v="0"/>
  </r>
  <r>
    <s v="The Whole Truth"/>
    <n v="80"/>
    <n v="310"/>
    <n v="273"/>
    <n v="341.25"/>
    <n v="12"/>
    <x v="0"/>
    <n v="485"/>
    <n v="132405"/>
    <n v="2803"/>
    <n v="0"/>
    <n v="221437"/>
    <n v="0"/>
  </r>
  <r>
    <s v="The Whole Truth"/>
    <n v="1000"/>
    <n v="3549"/>
    <n v="3549"/>
    <n v="354.9"/>
    <n v="0"/>
    <x v="2"/>
    <n v="543"/>
    <n v="1927107"/>
    <n v="2861"/>
    <n v="0"/>
    <n v="226019"/>
    <n v="0"/>
  </r>
  <r>
    <s v="The Whole Truth"/>
    <n v="1000"/>
    <n v="3549"/>
    <n v="3549"/>
    <n v="354.9"/>
    <n v="0"/>
    <x v="2"/>
    <n v="543"/>
    <n v="1927107"/>
    <n v="2861"/>
    <n v="0"/>
    <n v="226019"/>
    <n v="0"/>
  </r>
  <r>
    <s v="The Whole Truth"/>
    <n v="80"/>
    <n v="335"/>
    <n v="289"/>
    <n v="361.25"/>
    <n v="14"/>
    <x v="0"/>
    <n v="454"/>
    <n v="131206"/>
    <n v="2772"/>
    <n v="0"/>
    <n v="218988"/>
    <n v="0"/>
  </r>
  <r>
    <s v="The Whole Truth"/>
    <n v="2000"/>
    <n v="8599"/>
    <n v="7259"/>
    <n v="362.95"/>
    <n v="16"/>
    <x v="3"/>
    <n v="0"/>
    <n v="0"/>
    <n v="2318"/>
    <n v="0"/>
    <n v="183122"/>
    <n v="0"/>
  </r>
  <r>
    <s v="Happilo"/>
    <n v="150"/>
    <n v="649"/>
    <n v="549"/>
    <n v="366"/>
    <n v="15"/>
    <x v="0"/>
    <n v="305"/>
    <n v="167445"/>
    <n v="2623"/>
    <n v="0"/>
    <n v="207217"/>
    <n v="0"/>
  </r>
  <r>
    <s v="Happilo"/>
    <n v="150"/>
    <n v="649"/>
    <n v="549"/>
    <n v="366"/>
    <n v="15"/>
    <x v="0"/>
    <n v="305"/>
    <n v="167445"/>
    <n v="2623"/>
    <n v="0"/>
    <n v="207217"/>
    <n v="0"/>
  </r>
  <r>
    <s v="The Whole Truth"/>
    <n v="1000"/>
    <n v="4499"/>
    <n v="3799"/>
    <n v="379.9"/>
    <n v="16"/>
    <x v="2"/>
    <n v="0"/>
    <n v="0"/>
    <n v="2318"/>
    <n v="0"/>
    <n v="183122"/>
    <n v="0"/>
  </r>
  <r>
    <s v="The Whole Truth"/>
    <n v="1000"/>
    <n v="4499"/>
    <n v="3799"/>
    <n v="379.9"/>
    <n v="16"/>
    <x v="2"/>
    <n v="0"/>
    <n v="0"/>
    <n v="2318"/>
    <n v="0"/>
    <n v="183122"/>
    <n v="0"/>
  </r>
  <r>
    <s v="The Whole Truth"/>
    <n v="80"/>
    <n v="349"/>
    <n v="308"/>
    <n v="385"/>
    <n v="12"/>
    <x v="0"/>
    <n v="1213"/>
    <n v="373604"/>
    <n v="3531"/>
    <n v="0"/>
    <n v="278949"/>
    <n v="0"/>
  </r>
  <r>
    <s v="The Whole Truth"/>
    <n v="1000"/>
    <n v="3999"/>
    <n v="3999"/>
    <n v="399.9"/>
    <n v="0"/>
    <x v="2"/>
    <n v="543"/>
    <n v="2171457"/>
    <n v="2861"/>
    <n v="0"/>
    <n v="226019"/>
    <n v="0"/>
  </r>
  <r>
    <s v="The Whole Truth"/>
    <n v="1000"/>
    <n v="4999"/>
    <n v="4219"/>
    <n v="421.9"/>
    <n v="16"/>
    <x v="2"/>
    <n v="0"/>
    <n v="0"/>
    <n v="2318"/>
    <n v="0"/>
    <n v="183122"/>
    <n v="0"/>
  </r>
  <r>
    <s v="The Whole Truth"/>
    <n v="210"/>
    <n v="890"/>
    <n v="890"/>
    <n v="423.8095238095238"/>
    <n v="0"/>
    <x v="1"/>
    <n v="1207"/>
    <n v="1074230"/>
    <n v="3525"/>
    <n v="0"/>
    <n v="278475"/>
    <n v="0"/>
  </r>
  <r>
    <s v="The Whole Truth"/>
    <n v="210"/>
    <n v="890"/>
    <n v="890"/>
    <n v="423.8095238095238"/>
    <n v="0"/>
    <x v="1"/>
    <n v="1207"/>
    <n v="1074230"/>
    <n v="3525"/>
    <n v="0"/>
    <n v="278475"/>
    <n v="0"/>
  </r>
  <r>
    <s v="The Whole Truth"/>
    <n v="2000"/>
    <n v="9299"/>
    <n v="8819"/>
    <n v="440.95"/>
    <n v="5"/>
    <x v="3"/>
    <n v="543"/>
    <n v="4788717"/>
    <n v="2861"/>
    <n v="0"/>
    <n v="226019"/>
    <n v="0"/>
  </r>
  <r>
    <s v="The Whole Truth"/>
    <n v="1000"/>
    <n v="4999"/>
    <n v="4639"/>
    <n v="463.9"/>
    <n v="7"/>
    <x v="2"/>
    <n v="543"/>
    <n v="2518977"/>
    <n v="2861"/>
    <n v="0"/>
    <n v="226019"/>
    <n v="0"/>
  </r>
  <r>
    <s v="The Whole Truth"/>
    <n v="210"/>
    <n v="999"/>
    <n v="999"/>
    <n v="475.71428571428572"/>
    <n v="0"/>
    <x v="1"/>
    <n v="971"/>
    <n v="970029"/>
    <n v="3289"/>
    <n v="0"/>
    <n v="259831"/>
    <n v="0"/>
  </r>
  <r>
    <s v="The Whole Truth"/>
    <n v="210"/>
    <n v="1199"/>
    <n v="1009"/>
    <n v="480.47619047619048"/>
    <n v="16"/>
    <x v="1"/>
    <n v="144"/>
    <n v="145296"/>
    <n v="2462"/>
    <n v="0"/>
    <n v="194498"/>
    <n v="0"/>
  </r>
  <r>
    <s v="The Whole Truth"/>
    <n v="210"/>
    <n v="1199"/>
    <n v="1009"/>
    <n v="480.47619047619048"/>
    <n v="16"/>
    <x v="1"/>
    <n v="144"/>
    <n v="145296"/>
    <n v="2462"/>
    <n v="0"/>
    <n v="194498"/>
    <n v="0"/>
  </r>
  <r>
    <s v="Yogabar"/>
    <n v="750"/>
    <n v="4999"/>
    <n v="3818"/>
    <n v="509.06666666666672"/>
    <n v="23"/>
    <x v="2"/>
    <n v="752"/>
    <n v="2871136"/>
    <n v="3070"/>
    <n v="0"/>
    <n v="242530"/>
    <n v="0"/>
  </r>
  <r>
    <s v="Yogabar"/>
    <n v="750"/>
    <n v="4999"/>
    <n v="3818"/>
    <n v="509.06666666666672"/>
    <n v="23"/>
    <x v="2"/>
    <n v="752"/>
    <n v="2871136"/>
    <n v="3070"/>
    <n v="0"/>
    <n v="242530"/>
    <n v="0"/>
  </r>
  <r>
    <s v="Happilo"/>
    <n v="0.5"/>
    <n v="275"/>
    <n v="172"/>
    <n v="34400"/>
    <n v="37"/>
    <x v="0"/>
    <n v="2213"/>
    <n v="380636"/>
    <n v="4531"/>
    <n v="0"/>
    <n v="35794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8EF0F-EEE1-4188-8571-4A50061484D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0" firstDataRow="1" firstDataCol="1"/>
  <pivotFields count="13">
    <pivotField showAll="0"/>
    <pivotField dataField="1" showAll="0"/>
    <pivotField showAll="0"/>
    <pivotField dataField="1" showAll="0"/>
    <pivotField numFmtId="2" showAll="0"/>
    <pivotField showAll="0"/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projected_rating_count" fld="7" baseField="6" baseItem="0"/>
    <dataField name="Average of Price" fld="3" subtotal="average" baseField="6" baseItem="0"/>
    <dataField name="Sum of Projected_revenue" fld="8" baseField="0" baseItem="0"/>
    <dataField name="Average of Quantity ( Grams)" fld="1" subtotal="average" baseField="6" baseItem="0"/>
    <dataField name="Min of Quantity ( Grams)" fld="1" subtotal="min" baseField="6" baseItem="0"/>
    <dataField name="Max of Quantity ( Grams)" fld="1" subtotal="max" baseField="6" baseItem="0"/>
    <dataField name="Max of Price" fld="3" subtotal="max" baseField="6" baseItem="0"/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1316-B374-4E87-A822-6ACD407DEDB7}">
  <dimension ref="A3:I8"/>
  <sheetViews>
    <sheetView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27.77734375" bestFit="1" customWidth="1"/>
    <col min="3" max="3" width="14.77734375" bestFit="1" customWidth="1"/>
    <col min="4" max="4" width="23.77734375" bestFit="1" customWidth="1"/>
    <col min="5" max="5" width="25.88671875" bestFit="1" customWidth="1"/>
    <col min="6" max="6" width="22.21875" bestFit="1" customWidth="1"/>
    <col min="7" max="7" width="22.5546875" bestFit="1" customWidth="1"/>
    <col min="8" max="8" width="11.44140625" bestFit="1" customWidth="1"/>
    <col min="9" max="9" width="11.5546875" bestFit="1" customWidth="1"/>
  </cols>
  <sheetData>
    <row r="3" spans="1:9" x14ac:dyDescent="0.3">
      <c r="A3" s="2" t="s">
        <v>18</v>
      </c>
      <c r="B3" t="s">
        <v>20</v>
      </c>
      <c r="C3" t="s">
        <v>21</v>
      </c>
      <c r="D3" t="s">
        <v>22</v>
      </c>
      <c r="E3" t="s">
        <v>23</v>
      </c>
      <c r="F3" t="s">
        <v>25</v>
      </c>
      <c r="G3" t="s">
        <v>24</v>
      </c>
      <c r="H3" t="s">
        <v>27</v>
      </c>
      <c r="I3" t="s">
        <v>26</v>
      </c>
    </row>
    <row r="4" spans="1:9" x14ac:dyDescent="0.3">
      <c r="A4" s="3">
        <v>0</v>
      </c>
      <c r="B4">
        <v>141335</v>
      </c>
      <c r="C4">
        <v>664.09523809523807</v>
      </c>
      <c r="D4">
        <v>81073607</v>
      </c>
      <c r="E4">
        <v>612.66666666666663</v>
      </c>
      <c r="F4">
        <v>210</v>
      </c>
      <c r="G4">
        <v>1000</v>
      </c>
      <c r="H4">
        <v>1436</v>
      </c>
      <c r="I4">
        <v>27892</v>
      </c>
    </row>
    <row r="5" spans="1:9" x14ac:dyDescent="0.3">
      <c r="A5" s="3">
        <v>1</v>
      </c>
      <c r="B5">
        <v>5848</v>
      </c>
      <c r="C5">
        <v>3488.7692307692309</v>
      </c>
      <c r="D5">
        <v>19806515</v>
      </c>
      <c r="E5">
        <v>961.92307692307691</v>
      </c>
      <c r="F5">
        <v>750</v>
      </c>
      <c r="G5">
        <v>1005</v>
      </c>
      <c r="H5">
        <v>4639</v>
      </c>
      <c r="I5">
        <v>45354</v>
      </c>
    </row>
    <row r="6" spans="1:9" x14ac:dyDescent="0.3">
      <c r="A6" s="3">
        <v>2</v>
      </c>
      <c r="B6">
        <v>1301513</v>
      </c>
      <c r="C6">
        <v>193.71794871794873</v>
      </c>
      <c r="D6">
        <v>170304452</v>
      </c>
      <c r="E6">
        <v>145.89615384615385</v>
      </c>
      <c r="F6">
        <v>0.5</v>
      </c>
      <c r="G6">
        <v>500</v>
      </c>
      <c r="H6">
        <v>576</v>
      </c>
      <c r="I6">
        <v>75550</v>
      </c>
    </row>
    <row r="7" spans="1:9" x14ac:dyDescent="0.3">
      <c r="A7" s="3">
        <v>3</v>
      </c>
      <c r="B7">
        <v>1086</v>
      </c>
      <c r="C7">
        <v>7576</v>
      </c>
      <c r="D7">
        <v>8399667</v>
      </c>
      <c r="E7">
        <v>2000</v>
      </c>
      <c r="F7">
        <v>2000</v>
      </c>
      <c r="G7">
        <v>2000</v>
      </c>
      <c r="H7">
        <v>8819</v>
      </c>
      <c r="I7">
        <v>22728</v>
      </c>
    </row>
    <row r="8" spans="1:9" x14ac:dyDescent="0.3">
      <c r="A8" s="3" t="s">
        <v>19</v>
      </c>
      <c r="B8">
        <v>1449782</v>
      </c>
      <c r="C8">
        <v>382.86607142857144</v>
      </c>
      <c r="D8">
        <v>279584241</v>
      </c>
      <c r="E8">
        <v>225.75111607142858</v>
      </c>
      <c r="F8">
        <v>0.5</v>
      </c>
      <c r="G8">
        <v>2000</v>
      </c>
      <c r="H8">
        <v>8819</v>
      </c>
      <c r="I8">
        <v>171524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9"/>
  <sheetViews>
    <sheetView tabSelected="1" workbookViewId="0">
      <selection activeCell="L10" sqref="L10"/>
    </sheetView>
  </sheetViews>
  <sheetFormatPr defaultRowHeight="14.4" x14ac:dyDescent="0.3"/>
  <cols>
    <col min="1" max="1" width="14.6640625" bestFit="1" customWidth="1"/>
    <col min="2" max="2" width="22.33203125" bestFit="1" customWidth="1"/>
    <col min="3" max="3" width="9.77734375" bestFit="1" customWidth="1"/>
    <col min="4" max="4" width="10" bestFit="1" customWidth="1"/>
    <col min="5" max="5" width="21" style="1" bestFit="1" customWidth="1"/>
    <col min="6" max="6" width="17.21875" bestFit="1" customWidth="1"/>
    <col min="7" max="7" width="12" bestFit="1" customWidth="1"/>
    <col min="8" max="8" width="27.6640625" bestFit="1" customWidth="1"/>
    <col min="9" max="9" width="23.21875" bestFit="1" customWidth="1"/>
    <col min="10" max="10" width="33.33203125" bestFit="1" customWidth="1"/>
    <col min="11" max="11" width="34.109375" bestFit="1" customWidth="1"/>
    <col min="12" max="12" width="26.77734375" bestFit="1" customWidth="1"/>
    <col min="13" max="13" width="26.21875" bestFit="1" customWidth="1"/>
  </cols>
  <sheetData>
    <row r="1" spans="1:13" s="6" customFormat="1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12</v>
      </c>
      <c r="I1" s="4" t="s">
        <v>17</v>
      </c>
      <c r="J1" s="4" t="s">
        <v>13</v>
      </c>
      <c r="K1" s="4" t="s">
        <v>14</v>
      </c>
      <c r="L1" s="4" t="s">
        <v>15</v>
      </c>
      <c r="M1" s="4" t="s">
        <v>16</v>
      </c>
    </row>
    <row r="2" spans="1:13" x14ac:dyDescent="0.3">
      <c r="A2" t="s">
        <v>8</v>
      </c>
      <c r="B2">
        <v>500</v>
      </c>
      <c r="C2">
        <v>265</v>
      </c>
      <c r="D2">
        <v>79</v>
      </c>
      <c r="E2" s="1">
        <v>15.8</v>
      </c>
      <c r="F2">
        <v>70</v>
      </c>
      <c r="G2">
        <v>2</v>
      </c>
      <c r="H2">
        <v>21235</v>
      </c>
      <c r="I2">
        <f>D2*H2</f>
        <v>1677565</v>
      </c>
      <c r="J2">
        <f>H2+2318</f>
        <v>23553</v>
      </c>
      <c r="K2">
        <f>IF(H2-2318&lt;=0,0,H2-2318)</f>
        <v>18917</v>
      </c>
      <c r="L2">
        <f>J2*$D$2</f>
        <v>1860687</v>
      </c>
      <c r="M2">
        <f>K2*$D$2</f>
        <v>1494443</v>
      </c>
    </row>
    <row r="3" spans="1:13" x14ac:dyDescent="0.3">
      <c r="A3" t="s">
        <v>8</v>
      </c>
      <c r="B3">
        <v>500</v>
      </c>
      <c r="C3">
        <v>225</v>
      </c>
      <c r="D3">
        <v>110</v>
      </c>
      <c r="E3" s="1">
        <v>22</v>
      </c>
      <c r="F3">
        <v>51</v>
      </c>
      <c r="G3">
        <v>2</v>
      </c>
      <c r="H3">
        <v>4369</v>
      </c>
      <c r="I3">
        <f t="shared" ref="I3:I66" si="0">D3*H3</f>
        <v>480590</v>
      </c>
      <c r="J3">
        <f t="shared" ref="J3:J66" si="1">H3+2318</f>
        <v>6687</v>
      </c>
      <c r="K3">
        <f t="shared" ref="K3:K66" si="2">IF(H3-2318&lt;=0,0,H3-2318)</f>
        <v>2051</v>
      </c>
      <c r="L3">
        <f t="shared" ref="L3:L66" si="3">J3*$D$2</f>
        <v>528273</v>
      </c>
      <c r="M3">
        <f t="shared" ref="M3:M66" si="4">K3*$D$2</f>
        <v>162029</v>
      </c>
    </row>
    <row r="4" spans="1:13" x14ac:dyDescent="0.3">
      <c r="A4" t="s">
        <v>8</v>
      </c>
      <c r="B4">
        <v>250</v>
      </c>
      <c r="C4">
        <v>125</v>
      </c>
      <c r="D4">
        <v>59</v>
      </c>
      <c r="E4" s="1">
        <v>23.6</v>
      </c>
      <c r="F4">
        <v>52</v>
      </c>
      <c r="G4">
        <v>2</v>
      </c>
      <c r="H4">
        <v>2095</v>
      </c>
      <c r="I4">
        <f t="shared" si="0"/>
        <v>123605</v>
      </c>
      <c r="J4">
        <f t="shared" si="1"/>
        <v>4413</v>
      </c>
      <c r="K4">
        <f t="shared" si="2"/>
        <v>0</v>
      </c>
      <c r="L4">
        <f t="shared" si="3"/>
        <v>348627</v>
      </c>
      <c r="M4">
        <f t="shared" si="4"/>
        <v>0</v>
      </c>
    </row>
    <row r="5" spans="1:13" x14ac:dyDescent="0.3">
      <c r="A5" t="s">
        <v>8</v>
      </c>
      <c r="B5">
        <v>250</v>
      </c>
      <c r="C5">
        <v>125</v>
      </c>
      <c r="D5">
        <v>59</v>
      </c>
      <c r="E5" s="1">
        <v>23.6</v>
      </c>
      <c r="F5">
        <v>52</v>
      </c>
      <c r="G5">
        <v>2</v>
      </c>
      <c r="H5">
        <v>2095</v>
      </c>
      <c r="I5">
        <f t="shared" si="0"/>
        <v>123605</v>
      </c>
      <c r="J5">
        <f t="shared" si="1"/>
        <v>4413</v>
      </c>
      <c r="K5">
        <f t="shared" si="2"/>
        <v>0</v>
      </c>
      <c r="L5">
        <f t="shared" si="3"/>
        <v>348627</v>
      </c>
      <c r="M5">
        <f t="shared" si="4"/>
        <v>0</v>
      </c>
    </row>
    <row r="6" spans="1:13" x14ac:dyDescent="0.3">
      <c r="A6" t="s">
        <v>8</v>
      </c>
      <c r="B6">
        <v>250</v>
      </c>
      <c r="C6">
        <v>125</v>
      </c>
      <c r="D6">
        <v>61</v>
      </c>
      <c r="E6" s="1">
        <v>24.4</v>
      </c>
      <c r="F6">
        <v>51</v>
      </c>
      <c r="G6">
        <v>2</v>
      </c>
      <c r="H6">
        <v>3009</v>
      </c>
      <c r="I6">
        <f t="shared" si="0"/>
        <v>183549</v>
      </c>
      <c r="J6">
        <f t="shared" si="1"/>
        <v>5327</v>
      </c>
      <c r="K6">
        <f t="shared" si="2"/>
        <v>691</v>
      </c>
      <c r="L6">
        <f t="shared" si="3"/>
        <v>420833</v>
      </c>
      <c r="M6">
        <f t="shared" si="4"/>
        <v>54589</v>
      </c>
    </row>
    <row r="7" spans="1:13" x14ac:dyDescent="0.3">
      <c r="A7" t="s">
        <v>7</v>
      </c>
      <c r="B7">
        <v>1000</v>
      </c>
      <c r="C7">
        <v>650</v>
      </c>
      <c r="D7">
        <v>249</v>
      </c>
      <c r="E7" s="1">
        <v>24.9</v>
      </c>
      <c r="F7">
        <v>62</v>
      </c>
      <c r="G7">
        <v>0</v>
      </c>
      <c r="H7">
        <v>21682</v>
      </c>
      <c r="I7">
        <f t="shared" si="0"/>
        <v>5398818</v>
      </c>
      <c r="J7">
        <f t="shared" si="1"/>
        <v>24000</v>
      </c>
      <c r="K7">
        <f t="shared" si="2"/>
        <v>19364</v>
      </c>
      <c r="L7">
        <f t="shared" si="3"/>
        <v>1896000</v>
      </c>
      <c r="M7">
        <f t="shared" si="4"/>
        <v>1529756</v>
      </c>
    </row>
    <row r="8" spans="1:13" x14ac:dyDescent="0.3">
      <c r="A8" t="s">
        <v>8</v>
      </c>
      <c r="B8">
        <v>500</v>
      </c>
      <c r="C8">
        <v>175</v>
      </c>
      <c r="D8">
        <v>130</v>
      </c>
      <c r="E8" s="1">
        <v>26</v>
      </c>
      <c r="F8">
        <v>26</v>
      </c>
      <c r="G8">
        <v>2</v>
      </c>
      <c r="H8">
        <v>2839</v>
      </c>
      <c r="I8">
        <f t="shared" si="0"/>
        <v>369070</v>
      </c>
      <c r="J8">
        <f t="shared" si="1"/>
        <v>5157</v>
      </c>
      <c r="K8">
        <f t="shared" si="2"/>
        <v>521</v>
      </c>
      <c r="L8">
        <f t="shared" si="3"/>
        <v>407403</v>
      </c>
      <c r="M8">
        <f t="shared" si="4"/>
        <v>41159</v>
      </c>
    </row>
    <row r="9" spans="1:13" x14ac:dyDescent="0.3">
      <c r="A9" t="s">
        <v>7</v>
      </c>
      <c r="B9">
        <v>200</v>
      </c>
      <c r="C9">
        <v>99</v>
      </c>
      <c r="D9">
        <v>55</v>
      </c>
      <c r="E9" s="1">
        <v>27.5</v>
      </c>
      <c r="F9">
        <v>44</v>
      </c>
      <c r="G9">
        <v>2</v>
      </c>
      <c r="H9">
        <v>3508</v>
      </c>
      <c r="I9">
        <f t="shared" si="0"/>
        <v>192940</v>
      </c>
      <c r="J9">
        <f t="shared" si="1"/>
        <v>5826</v>
      </c>
      <c r="K9">
        <f t="shared" si="2"/>
        <v>1190</v>
      </c>
      <c r="L9">
        <f t="shared" si="3"/>
        <v>460254</v>
      </c>
      <c r="M9">
        <f t="shared" si="4"/>
        <v>94010</v>
      </c>
    </row>
    <row r="10" spans="1:13" x14ac:dyDescent="0.3">
      <c r="A10" t="s">
        <v>7</v>
      </c>
      <c r="B10">
        <v>200</v>
      </c>
      <c r="C10">
        <v>99</v>
      </c>
      <c r="D10">
        <v>55</v>
      </c>
      <c r="E10" s="1">
        <v>27.5</v>
      </c>
      <c r="F10">
        <v>44</v>
      </c>
      <c r="G10">
        <v>2</v>
      </c>
      <c r="H10">
        <v>3508</v>
      </c>
      <c r="I10">
        <f t="shared" si="0"/>
        <v>192940</v>
      </c>
      <c r="J10">
        <f t="shared" si="1"/>
        <v>5826</v>
      </c>
      <c r="K10">
        <f t="shared" si="2"/>
        <v>1190</v>
      </c>
      <c r="L10">
        <f t="shared" si="3"/>
        <v>460254</v>
      </c>
      <c r="M10">
        <f t="shared" si="4"/>
        <v>94010</v>
      </c>
    </row>
    <row r="11" spans="1:13" x14ac:dyDescent="0.3">
      <c r="A11" t="s">
        <v>7</v>
      </c>
      <c r="B11">
        <v>1000</v>
      </c>
      <c r="C11">
        <v>600</v>
      </c>
      <c r="D11">
        <v>293</v>
      </c>
      <c r="E11" s="1">
        <v>29.3</v>
      </c>
      <c r="F11">
        <v>51</v>
      </c>
      <c r="G11">
        <v>0</v>
      </c>
      <c r="H11">
        <v>2433</v>
      </c>
      <c r="I11">
        <f t="shared" si="0"/>
        <v>712869</v>
      </c>
      <c r="J11">
        <f t="shared" si="1"/>
        <v>4751</v>
      </c>
      <c r="K11">
        <f t="shared" si="2"/>
        <v>115</v>
      </c>
      <c r="L11">
        <f t="shared" si="3"/>
        <v>375329</v>
      </c>
      <c r="M11">
        <f t="shared" si="4"/>
        <v>9085</v>
      </c>
    </row>
    <row r="12" spans="1:13" x14ac:dyDescent="0.3">
      <c r="A12" t="s">
        <v>7</v>
      </c>
      <c r="B12">
        <v>500</v>
      </c>
      <c r="C12">
        <v>300</v>
      </c>
      <c r="D12">
        <v>149</v>
      </c>
      <c r="E12" s="1">
        <v>29.8</v>
      </c>
      <c r="F12">
        <v>50</v>
      </c>
      <c r="G12">
        <v>2</v>
      </c>
      <c r="H12">
        <v>1809</v>
      </c>
      <c r="I12">
        <f t="shared" si="0"/>
        <v>269541</v>
      </c>
      <c r="J12">
        <f t="shared" si="1"/>
        <v>4127</v>
      </c>
      <c r="K12">
        <f t="shared" si="2"/>
        <v>0</v>
      </c>
      <c r="L12">
        <f t="shared" si="3"/>
        <v>326033</v>
      </c>
      <c r="M12">
        <f t="shared" si="4"/>
        <v>0</v>
      </c>
    </row>
    <row r="13" spans="1:13" x14ac:dyDescent="0.3">
      <c r="A13" t="s">
        <v>11</v>
      </c>
      <c r="B13">
        <v>1000</v>
      </c>
      <c r="C13">
        <v>490</v>
      </c>
      <c r="D13">
        <v>298</v>
      </c>
      <c r="E13" s="1">
        <v>29.8</v>
      </c>
      <c r="F13">
        <v>39</v>
      </c>
      <c r="G13">
        <v>0</v>
      </c>
      <c r="H13">
        <v>2548</v>
      </c>
      <c r="I13">
        <f t="shared" si="0"/>
        <v>759304</v>
      </c>
      <c r="J13">
        <f t="shared" si="1"/>
        <v>4866</v>
      </c>
      <c r="K13">
        <f t="shared" si="2"/>
        <v>230</v>
      </c>
      <c r="L13">
        <f t="shared" si="3"/>
        <v>384414</v>
      </c>
      <c r="M13">
        <f t="shared" si="4"/>
        <v>18170</v>
      </c>
    </row>
    <row r="14" spans="1:13" x14ac:dyDescent="0.3">
      <c r="A14" t="s">
        <v>11</v>
      </c>
      <c r="B14">
        <v>1000</v>
      </c>
      <c r="C14">
        <v>490</v>
      </c>
      <c r="D14">
        <v>298</v>
      </c>
      <c r="E14" s="1">
        <v>29.8</v>
      </c>
      <c r="F14">
        <v>39</v>
      </c>
      <c r="G14">
        <v>0</v>
      </c>
      <c r="H14">
        <v>2548</v>
      </c>
      <c r="I14">
        <f t="shared" si="0"/>
        <v>759304</v>
      </c>
      <c r="J14">
        <f t="shared" si="1"/>
        <v>4866</v>
      </c>
      <c r="K14">
        <f t="shared" si="2"/>
        <v>230</v>
      </c>
      <c r="L14">
        <f t="shared" si="3"/>
        <v>384414</v>
      </c>
      <c r="M14">
        <f t="shared" si="4"/>
        <v>18170</v>
      </c>
    </row>
    <row r="15" spans="1:13" x14ac:dyDescent="0.3">
      <c r="A15" t="s">
        <v>8</v>
      </c>
      <c r="B15">
        <v>250</v>
      </c>
      <c r="C15">
        <v>99</v>
      </c>
      <c r="D15">
        <v>85</v>
      </c>
      <c r="E15" s="1">
        <v>34</v>
      </c>
      <c r="F15">
        <v>14</v>
      </c>
      <c r="G15">
        <v>2</v>
      </c>
      <c r="H15">
        <v>926</v>
      </c>
      <c r="I15">
        <f t="shared" si="0"/>
        <v>78710</v>
      </c>
      <c r="J15">
        <f t="shared" si="1"/>
        <v>3244</v>
      </c>
      <c r="K15">
        <f t="shared" si="2"/>
        <v>0</v>
      </c>
      <c r="L15">
        <f t="shared" si="3"/>
        <v>256276</v>
      </c>
      <c r="M15">
        <f t="shared" si="4"/>
        <v>0</v>
      </c>
    </row>
    <row r="16" spans="1:13" x14ac:dyDescent="0.3">
      <c r="A16" t="s">
        <v>7</v>
      </c>
      <c r="B16">
        <v>400</v>
      </c>
      <c r="C16">
        <v>198</v>
      </c>
      <c r="D16">
        <v>137</v>
      </c>
      <c r="E16" s="1">
        <v>34.25</v>
      </c>
      <c r="F16">
        <v>31</v>
      </c>
      <c r="G16">
        <v>2</v>
      </c>
      <c r="H16">
        <v>5791</v>
      </c>
      <c r="I16">
        <f t="shared" si="0"/>
        <v>793367</v>
      </c>
      <c r="J16">
        <f t="shared" si="1"/>
        <v>8109</v>
      </c>
      <c r="K16">
        <f t="shared" si="2"/>
        <v>3473</v>
      </c>
      <c r="L16">
        <f t="shared" si="3"/>
        <v>640611</v>
      </c>
      <c r="M16">
        <f t="shared" si="4"/>
        <v>274367</v>
      </c>
    </row>
    <row r="17" spans="1:13" x14ac:dyDescent="0.3">
      <c r="A17" t="s">
        <v>7</v>
      </c>
      <c r="B17">
        <v>200</v>
      </c>
      <c r="C17">
        <v>99</v>
      </c>
      <c r="D17">
        <v>69</v>
      </c>
      <c r="E17" s="1">
        <v>34.5</v>
      </c>
      <c r="F17">
        <v>30</v>
      </c>
      <c r="G17">
        <v>2</v>
      </c>
      <c r="H17">
        <v>4570</v>
      </c>
      <c r="I17">
        <f t="shared" si="0"/>
        <v>315330</v>
      </c>
      <c r="J17">
        <f t="shared" si="1"/>
        <v>6888</v>
      </c>
      <c r="K17">
        <f t="shared" si="2"/>
        <v>2252</v>
      </c>
      <c r="L17">
        <f t="shared" si="3"/>
        <v>544152</v>
      </c>
      <c r="M17">
        <f t="shared" si="4"/>
        <v>177908</v>
      </c>
    </row>
    <row r="18" spans="1:13" x14ac:dyDescent="0.3">
      <c r="A18" t="s">
        <v>11</v>
      </c>
      <c r="B18">
        <v>700</v>
      </c>
      <c r="C18">
        <v>445</v>
      </c>
      <c r="D18">
        <v>249</v>
      </c>
      <c r="E18" s="1">
        <v>35.571428571428569</v>
      </c>
      <c r="F18">
        <v>44</v>
      </c>
      <c r="G18">
        <v>0</v>
      </c>
      <c r="H18">
        <v>3318</v>
      </c>
      <c r="I18">
        <f t="shared" si="0"/>
        <v>826182</v>
      </c>
      <c r="J18">
        <f t="shared" si="1"/>
        <v>5636</v>
      </c>
      <c r="K18">
        <f t="shared" si="2"/>
        <v>1000</v>
      </c>
      <c r="L18">
        <f t="shared" si="3"/>
        <v>445244</v>
      </c>
      <c r="M18">
        <f t="shared" si="4"/>
        <v>79000</v>
      </c>
    </row>
    <row r="19" spans="1:13" x14ac:dyDescent="0.3">
      <c r="A19" t="s">
        <v>11</v>
      </c>
      <c r="B19">
        <v>700</v>
      </c>
      <c r="C19">
        <v>445</v>
      </c>
      <c r="D19">
        <v>249</v>
      </c>
      <c r="E19" s="1">
        <v>35.571428571428569</v>
      </c>
      <c r="F19">
        <v>44</v>
      </c>
      <c r="G19">
        <v>0</v>
      </c>
      <c r="H19">
        <v>3318</v>
      </c>
      <c r="I19">
        <f t="shared" si="0"/>
        <v>826182</v>
      </c>
      <c r="J19">
        <f t="shared" si="1"/>
        <v>5636</v>
      </c>
      <c r="K19">
        <f t="shared" si="2"/>
        <v>1000</v>
      </c>
      <c r="L19">
        <f t="shared" si="3"/>
        <v>445244</v>
      </c>
      <c r="M19">
        <f t="shared" si="4"/>
        <v>79000</v>
      </c>
    </row>
    <row r="20" spans="1:13" x14ac:dyDescent="0.3">
      <c r="A20" t="s">
        <v>7</v>
      </c>
      <c r="B20">
        <v>250</v>
      </c>
      <c r="C20">
        <v>189</v>
      </c>
      <c r="D20">
        <v>93</v>
      </c>
      <c r="E20" s="1">
        <v>37.200000000000003</v>
      </c>
      <c r="F20">
        <v>51</v>
      </c>
      <c r="G20">
        <v>2</v>
      </c>
      <c r="H20">
        <v>3870</v>
      </c>
      <c r="I20">
        <f t="shared" si="0"/>
        <v>359910</v>
      </c>
      <c r="J20">
        <f t="shared" si="1"/>
        <v>6188</v>
      </c>
      <c r="K20">
        <f t="shared" si="2"/>
        <v>1552</v>
      </c>
      <c r="L20">
        <f t="shared" si="3"/>
        <v>488852</v>
      </c>
      <c r="M20">
        <f t="shared" si="4"/>
        <v>122608</v>
      </c>
    </row>
    <row r="21" spans="1:13" x14ac:dyDescent="0.3">
      <c r="A21" t="s">
        <v>7</v>
      </c>
      <c r="B21">
        <v>250</v>
      </c>
      <c r="C21">
        <v>189</v>
      </c>
      <c r="D21">
        <v>93</v>
      </c>
      <c r="E21" s="1">
        <v>37.200000000000003</v>
      </c>
      <c r="F21">
        <v>51</v>
      </c>
      <c r="G21">
        <v>2</v>
      </c>
      <c r="H21">
        <v>3870</v>
      </c>
      <c r="I21">
        <f t="shared" si="0"/>
        <v>359910</v>
      </c>
      <c r="J21">
        <f t="shared" si="1"/>
        <v>6188</v>
      </c>
      <c r="K21">
        <f t="shared" si="2"/>
        <v>1552</v>
      </c>
      <c r="L21">
        <f t="shared" si="3"/>
        <v>488852</v>
      </c>
      <c r="M21">
        <f t="shared" si="4"/>
        <v>122608</v>
      </c>
    </row>
    <row r="22" spans="1:13" x14ac:dyDescent="0.3">
      <c r="A22" t="s">
        <v>11</v>
      </c>
      <c r="B22">
        <v>250</v>
      </c>
      <c r="C22">
        <v>131</v>
      </c>
      <c r="D22">
        <v>98</v>
      </c>
      <c r="E22" s="1">
        <v>39.200000000000003</v>
      </c>
      <c r="F22">
        <v>25</v>
      </c>
      <c r="G22">
        <v>2</v>
      </c>
      <c r="H22">
        <v>765</v>
      </c>
      <c r="I22">
        <f t="shared" si="0"/>
        <v>74970</v>
      </c>
      <c r="J22">
        <f t="shared" si="1"/>
        <v>3083</v>
      </c>
      <c r="K22">
        <f t="shared" si="2"/>
        <v>0</v>
      </c>
      <c r="L22">
        <f t="shared" si="3"/>
        <v>243557</v>
      </c>
      <c r="M22">
        <f t="shared" si="4"/>
        <v>0</v>
      </c>
    </row>
    <row r="23" spans="1:13" x14ac:dyDescent="0.3">
      <c r="A23" t="s">
        <v>11</v>
      </c>
      <c r="B23">
        <v>250</v>
      </c>
      <c r="C23">
        <v>131</v>
      </c>
      <c r="D23">
        <v>98</v>
      </c>
      <c r="E23" s="1">
        <v>39.200000000000003</v>
      </c>
      <c r="F23">
        <v>25</v>
      </c>
      <c r="G23">
        <v>2</v>
      </c>
      <c r="H23">
        <v>765</v>
      </c>
      <c r="I23">
        <f t="shared" si="0"/>
        <v>74970</v>
      </c>
      <c r="J23">
        <f t="shared" si="1"/>
        <v>3083</v>
      </c>
      <c r="K23">
        <f t="shared" si="2"/>
        <v>0</v>
      </c>
      <c r="L23">
        <f t="shared" si="3"/>
        <v>243557</v>
      </c>
      <c r="M23">
        <f t="shared" si="4"/>
        <v>0</v>
      </c>
    </row>
    <row r="24" spans="1:13" x14ac:dyDescent="0.3">
      <c r="A24" t="s">
        <v>8</v>
      </c>
      <c r="B24">
        <v>500</v>
      </c>
      <c r="C24">
        <v>395</v>
      </c>
      <c r="D24">
        <v>221</v>
      </c>
      <c r="E24" s="1">
        <v>44.2</v>
      </c>
      <c r="F24">
        <v>44</v>
      </c>
      <c r="G24">
        <v>2</v>
      </c>
      <c r="H24">
        <v>3256</v>
      </c>
      <c r="I24">
        <f t="shared" si="0"/>
        <v>719576</v>
      </c>
      <c r="J24">
        <f t="shared" si="1"/>
        <v>5574</v>
      </c>
      <c r="K24">
        <f t="shared" si="2"/>
        <v>938</v>
      </c>
      <c r="L24">
        <f t="shared" si="3"/>
        <v>440346</v>
      </c>
      <c r="M24">
        <f t="shared" si="4"/>
        <v>74102</v>
      </c>
    </row>
    <row r="25" spans="1:13" x14ac:dyDescent="0.3">
      <c r="A25" t="s">
        <v>7</v>
      </c>
      <c r="B25">
        <v>200</v>
      </c>
      <c r="C25">
        <v>189</v>
      </c>
      <c r="D25">
        <v>93</v>
      </c>
      <c r="E25" s="1">
        <v>46.5</v>
      </c>
      <c r="F25">
        <v>51</v>
      </c>
      <c r="G25">
        <v>2</v>
      </c>
      <c r="H25">
        <v>3870</v>
      </c>
      <c r="I25">
        <f t="shared" si="0"/>
        <v>359910</v>
      </c>
      <c r="J25">
        <f t="shared" si="1"/>
        <v>6188</v>
      </c>
      <c r="K25">
        <f t="shared" si="2"/>
        <v>1552</v>
      </c>
      <c r="L25">
        <f t="shared" si="3"/>
        <v>488852</v>
      </c>
      <c r="M25">
        <f t="shared" si="4"/>
        <v>122608</v>
      </c>
    </row>
    <row r="26" spans="1:13" x14ac:dyDescent="0.3">
      <c r="A26" t="s">
        <v>7</v>
      </c>
      <c r="B26">
        <v>200</v>
      </c>
      <c r="C26">
        <v>189</v>
      </c>
      <c r="D26">
        <v>93</v>
      </c>
      <c r="E26" s="1">
        <v>46.5</v>
      </c>
      <c r="F26">
        <v>51</v>
      </c>
      <c r="G26">
        <v>2</v>
      </c>
      <c r="H26">
        <v>3870</v>
      </c>
      <c r="I26">
        <f t="shared" si="0"/>
        <v>359910</v>
      </c>
      <c r="J26">
        <f t="shared" si="1"/>
        <v>6188</v>
      </c>
      <c r="K26">
        <f t="shared" si="2"/>
        <v>1552</v>
      </c>
      <c r="L26">
        <f t="shared" si="3"/>
        <v>488852</v>
      </c>
      <c r="M26">
        <f t="shared" si="4"/>
        <v>122608</v>
      </c>
    </row>
    <row r="27" spans="1:13" x14ac:dyDescent="0.3">
      <c r="A27" t="s">
        <v>8</v>
      </c>
      <c r="B27">
        <v>500</v>
      </c>
      <c r="C27">
        <v>425</v>
      </c>
      <c r="D27">
        <v>237</v>
      </c>
      <c r="E27" s="1">
        <v>47.4</v>
      </c>
      <c r="F27">
        <v>44</v>
      </c>
      <c r="G27">
        <v>2</v>
      </c>
      <c r="H27">
        <v>3318</v>
      </c>
      <c r="I27">
        <f t="shared" si="0"/>
        <v>786366</v>
      </c>
      <c r="J27">
        <f t="shared" si="1"/>
        <v>5636</v>
      </c>
      <c r="K27">
        <f t="shared" si="2"/>
        <v>1000</v>
      </c>
      <c r="L27">
        <f t="shared" si="3"/>
        <v>445244</v>
      </c>
      <c r="M27">
        <f t="shared" si="4"/>
        <v>79000</v>
      </c>
    </row>
    <row r="28" spans="1:13" x14ac:dyDescent="0.3">
      <c r="A28" t="s">
        <v>8</v>
      </c>
      <c r="B28">
        <v>500</v>
      </c>
      <c r="C28">
        <v>549</v>
      </c>
      <c r="D28">
        <v>252</v>
      </c>
      <c r="E28" s="1">
        <v>50.4</v>
      </c>
      <c r="F28">
        <v>54</v>
      </c>
      <c r="G28">
        <v>2</v>
      </c>
      <c r="H28">
        <v>3677</v>
      </c>
      <c r="I28">
        <f t="shared" si="0"/>
        <v>926604</v>
      </c>
      <c r="J28">
        <f t="shared" si="1"/>
        <v>5995</v>
      </c>
      <c r="K28">
        <f t="shared" si="2"/>
        <v>1359</v>
      </c>
      <c r="L28">
        <f t="shared" si="3"/>
        <v>473605</v>
      </c>
      <c r="M28">
        <f t="shared" si="4"/>
        <v>107361</v>
      </c>
    </row>
    <row r="29" spans="1:13" x14ac:dyDescent="0.3">
      <c r="A29" t="s">
        <v>7</v>
      </c>
      <c r="B29">
        <v>500</v>
      </c>
      <c r="C29">
        <v>298</v>
      </c>
      <c r="D29">
        <v>256</v>
      </c>
      <c r="E29" s="1">
        <v>51.2</v>
      </c>
      <c r="F29">
        <v>14</v>
      </c>
      <c r="G29">
        <v>2</v>
      </c>
      <c r="H29">
        <v>634</v>
      </c>
      <c r="I29">
        <f t="shared" si="0"/>
        <v>162304</v>
      </c>
      <c r="J29">
        <f t="shared" si="1"/>
        <v>2952</v>
      </c>
      <c r="K29">
        <f t="shared" si="2"/>
        <v>0</v>
      </c>
      <c r="L29">
        <f t="shared" si="3"/>
        <v>233208</v>
      </c>
      <c r="M29">
        <f t="shared" si="4"/>
        <v>0</v>
      </c>
    </row>
    <row r="30" spans="1:13" x14ac:dyDescent="0.3">
      <c r="A30" t="s">
        <v>7</v>
      </c>
      <c r="B30">
        <v>250</v>
      </c>
      <c r="C30">
        <v>149</v>
      </c>
      <c r="D30">
        <v>129</v>
      </c>
      <c r="E30" s="1">
        <v>51.6</v>
      </c>
      <c r="F30">
        <v>13</v>
      </c>
      <c r="G30">
        <v>2</v>
      </c>
      <c r="H30">
        <v>862</v>
      </c>
      <c r="I30">
        <f t="shared" si="0"/>
        <v>111198</v>
      </c>
      <c r="J30">
        <f t="shared" si="1"/>
        <v>3180</v>
      </c>
      <c r="K30">
        <f t="shared" si="2"/>
        <v>0</v>
      </c>
      <c r="L30">
        <f t="shared" si="3"/>
        <v>251220</v>
      </c>
      <c r="M30">
        <f t="shared" si="4"/>
        <v>0</v>
      </c>
    </row>
    <row r="31" spans="1:13" x14ac:dyDescent="0.3">
      <c r="A31" t="s">
        <v>7</v>
      </c>
      <c r="B31">
        <v>250</v>
      </c>
      <c r="C31">
        <v>299</v>
      </c>
      <c r="D31">
        <v>130</v>
      </c>
      <c r="E31" s="1">
        <v>52</v>
      </c>
      <c r="F31">
        <v>57</v>
      </c>
      <c r="G31">
        <v>2</v>
      </c>
      <c r="H31">
        <v>21892</v>
      </c>
      <c r="I31">
        <f t="shared" si="0"/>
        <v>2845960</v>
      </c>
      <c r="J31">
        <f t="shared" si="1"/>
        <v>24210</v>
      </c>
      <c r="K31">
        <f t="shared" si="2"/>
        <v>19574</v>
      </c>
      <c r="L31">
        <f t="shared" si="3"/>
        <v>1912590</v>
      </c>
      <c r="M31">
        <f t="shared" si="4"/>
        <v>1546346</v>
      </c>
    </row>
    <row r="32" spans="1:13" x14ac:dyDescent="0.3">
      <c r="A32" t="s">
        <v>7</v>
      </c>
      <c r="B32">
        <v>250</v>
      </c>
      <c r="C32">
        <v>299</v>
      </c>
      <c r="D32">
        <v>130</v>
      </c>
      <c r="E32" s="1">
        <v>52</v>
      </c>
      <c r="F32">
        <v>57</v>
      </c>
      <c r="G32">
        <v>2</v>
      </c>
      <c r="H32">
        <v>21892</v>
      </c>
      <c r="I32">
        <f t="shared" si="0"/>
        <v>2845960</v>
      </c>
      <c r="J32">
        <f t="shared" si="1"/>
        <v>24210</v>
      </c>
      <c r="K32">
        <f t="shared" si="2"/>
        <v>19574</v>
      </c>
      <c r="L32">
        <f t="shared" si="3"/>
        <v>1912590</v>
      </c>
      <c r="M32">
        <f t="shared" si="4"/>
        <v>1546346</v>
      </c>
    </row>
    <row r="33" spans="1:13" x14ac:dyDescent="0.3">
      <c r="A33" t="s">
        <v>7</v>
      </c>
      <c r="B33">
        <v>33</v>
      </c>
      <c r="C33">
        <v>30</v>
      </c>
      <c r="D33">
        <v>18</v>
      </c>
      <c r="E33" s="1">
        <v>54.54545454545454</v>
      </c>
      <c r="F33">
        <v>40</v>
      </c>
      <c r="G33">
        <v>2</v>
      </c>
      <c r="H33">
        <v>13693</v>
      </c>
      <c r="I33">
        <f t="shared" si="0"/>
        <v>246474</v>
      </c>
      <c r="J33">
        <f t="shared" si="1"/>
        <v>16011</v>
      </c>
      <c r="K33">
        <f t="shared" si="2"/>
        <v>11375</v>
      </c>
      <c r="L33">
        <f t="shared" si="3"/>
        <v>1264869</v>
      </c>
      <c r="M33">
        <f t="shared" si="4"/>
        <v>898625</v>
      </c>
    </row>
    <row r="34" spans="1:13" x14ac:dyDescent="0.3">
      <c r="A34" t="s">
        <v>7</v>
      </c>
      <c r="B34">
        <v>33</v>
      </c>
      <c r="C34">
        <v>30</v>
      </c>
      <c r="D34">
        <v>18</v>
      </c>
      <c r="E34" s="1">
        <v>54.54545454545454</v>
      </c>
      <c r="F34">
        <v>40</v>
      </c>
      <c r="G34">
        <v>2</v>
      </c>
      <c r="H34">
        <v>13693</v>
      </c>
      <c r="I34">
        <f t="shared" si="0"/>
        <v>246474</v>
      </c>
      <c r="J34">
        <f t="shared" si="1"/>
        <v>16011</v>
      </c>
      <c r="K34">
        <f t="shared" si="2"/>
        <v>11375</v>
      </c>
      <c r="L34">
        <f t="shared" si="3"/>
        <v>1264869</v>
      </c>
      <c r="M34">
        <f t="shared" si="4"/>
        <v>898625</v>
      </c>
    </row>
    <row r="35" spans="1:13" x14ac:dyDescent="0.3">
      <c r="A35" t="s">
        <v>7</v>
      </c>
      <c r="B35">
        <v>1000</v>
      </c>
      <c r="C35">
        <v>1199</v>
      </c>
      <c r="D35">
        <v>559</v>
      </c>
      <c r="E35" s="1">
        <v>55.900000000000013</v>
      </c>
      <c r="F35">
        <v>53</v>
      </c>
      <c r="G35">
        <v>0</v>
      </c>
      <c r="H35">
        <v>604</v>
      </c>
      <c r="I35">
        <f t="shared" si="0"/>
        <v>337636</v>
      </c>
      <c r="J35">
        <f t="shared" si="1"/>
        <v>2922</v>
      </c>
      <c r="K35">
        <f t="shared" si="2"/>
        <v>0</v>
      </c>
      <c r="L35">
        <f t="shared" si="3"/>
        <v>230838</v>
      </c>
      <c r="M35">
        <f t="shared" si="4"/>
        <v>0</v>
      </c>
    </row>
    <row r="36" spans="1:13" x14ac:dyDescent="0.3">
      <c r="A36" t="s">
        <v>7</v>
      </c>
      <c r="B36">
        <v>400</v>
      </c>
      <c r="C36">
        <v>458</v>
      </c>
      <c r="D36">
        <v>225</v>
      </c>
      <c r="E36" s="1">
        <v>56.25</v>
      </c>
      <c r="F36">
        <v>51</v>
      </c>
      <c r="G36">
        <v>2</v>
      </c>
      <c r="H36">
        <v>2983</v>
      </c>
      <c r="I36">
        <f t="shared" si="0"/>
        <v>671175</v>
      </c>
      <c r="J36">
        <f t="shared" si="1"/>
        <v>5301</v>
      </c>
      <c r="K36">
        <f t="shared" si="2"/>
        <v>665</v>
      </c>
      <c r="L36">
        <f t="shared" si="3"/>
        <v>418779</v>
      </c>
      <c r="M36">
        <f t="shared" si="4"/>
        <v>52535</v>
      </c>
    </row>
    <row r="37" spans="1:13" x14ac:dyDescent="0.3">
      <c r="A37" t="s">
        <v>7</v>
      </c>
      <c r="B37">
        <v>500</v>
      </c>
      <c r="C37">
        <v>599</v>
      </c>
      <c r="D37">
        <v>293</v>
      </c>
      <c r="E37" s="1">
        <v>58.599999999999987</v>
      </c>
      <c r="F37">
        <v>51</v>
      </c>
      <c r="G37">
        <v>2</v>
      </c>
      <c r="H37">
        <v>2644</v>
      </c>
      <c r="I37">
        <f t="shared" si="0"/>
        <v>774692</v>
      </c>
      <c r="J37">
        <f t="shared" si="1"/>
        <v>4962</v>
      </c>
      <c r="K37">
        <f t="shared" si="2"/>
        <v>326</v>
      </c>
      <c r="L37">
        <f t="shared" si="3"/>
        <v>391998</v>
      </c>
      <c r="M37">
        <f t="shared" si="4"/>
        <v>25754</v>
      </c>
    </row>
    <row r="38" spans="1:13" x14ac:dyDescent="0.3">
      <c r="A38" t="s">
        <v>7</v>
      </c>
      <c r="B38">
        <v>500</v>
      </c>
      <c r="C38">
        <v>599</v>
      </c>
      <c r="D38">
        <v>293</v>
      </c>
      <c r="E38" s="1">
        <v>58.599999999999987</v>
      </c>
      <c r="F38">
        <v>51</v>
      </c>
      <c r="G38">
        <v>2</v>
      </c>
      <c r="H38">
        <v>2644</v>
      </c>
      <c r="I38">
        <f t="shared" si="0"/>
        <v>774692</v>
      </c>
      <c r="J38">
        <f t="shared" si="1"/>
        <v>4962</v>
      </c>
      <c r="K38">
        <f t="shared" si="2"/>
        <v>326</v>
      </c>
      <c r="L38">
        <f t="shared" si="3"/>
        <v>391998</v>
      </c>
      <c r="M38">
        <f t="shared" si="4"/>
        <v>25754</v>
      </c>
    </row>
    <row r="39" spans="1:13" x14ac:dyDescent="0.3">
      <c r="A39" t="s">
        <v>7</v>
      </c>
      <c r="B39">
        <v>600</v>
      </c>
      <c r="C39">
        <v>798</v>
      </c>
      <c r="D39">
        <v>356</v>
      </c>
      <c r="E39" s="1">
        <v>59.333333333333343</v>
      </c>
      <c r="F39">
        <v>55</v>
      </c>
      <c r="G39">
        <v>0</v>
      </c>
      <c r="H39">
        <v>1395</v>
      </c>
      <c r="I39">
        <f t="shared" si="0"/>
        <v>496620</v>
      </c>
      <c r="J39">
        <f t="shared" si="1"/>
        <v>3713</v>
      </c>
      <c r="K39">
        <f t="shared" si="2"/>
        <v>0</v>
      </c>
      <c r="L39">
        <f t="shared" si="3"/>
        <v>293327</v>
      </c>
      <c r="M39">
        <f t="shared" si="4"/>
        <v>0</v>
      </c>
    </row>
    <row r="40" spans="1:13" x14ac:dyDescent="0.3">
      <c r="A40" t="s">
        <v>7</v>
      </c>
      <c r="B40">
        <v>200</v>
      </c>
      <c r="C40">
        <v>229</v>
      </c>
      <c r="D40">
        <v>119</v>
      </c>
      <c r="E40" s="1">
        <v>59.5</v>
      </c>
      <c r="F40">
        <v>48</v>
      </c>
      <c r="G40">
        <v>2</v>
      </c>
      <c r="H40">
        <v>3984</v>
      </c>
      <c r="I40">
        <f t="shared" si="0"/>
        <v>474096</v>
      </c>
      <c r="J40">
        <f t="shared" si="1"/>
        <v>6302</v>
      </c>
      <c r="K40">
        <f t="shared" si="2"/>
        <v>1666</v>
      </c>
      <c r="L40">
        <f t="shared" si="3"/>
        <v>497858</v>
      </c>
      <c r="M40">
        <f t="shared" si="4"/>
        <v>131614</v>
      </c>
    </row>
    <row r="41" spans="1:13" x14ac:dyDescent="0.3">
      <c r="A41" t="s">
        <v>8</v>
      </c>
      <c r="B41">
        <v>250</v>
      </c>
      <c r="C41">
        <v>225</v>
      </c>
      <c r="D41">
        <v>149</v>
      </c>
      <c r="E41" s="1">
        <v>59.599999999999987</v>
      </c>
      <c r="F41">
        <v>34</v>
      </c>
      <c r="G41">
        <v>2</v>
      </c>
      <c r="H41">
        <v>5250</v>
      </c>
      <c r="I41">
        <f t="shared" si="0"/>
        <v>782250</v>
      </c>
      <c r="J41">
        <f t="shared" si="1"/>
        <v>7568</v>
      </c>
      <c r="K41">
        <f t="shared" si="2"/>
        <v>2932</v>
      </c>
      <c r="L41">
        <f t="shared" si="3"/>
        <v>597872</v>
      </c>
      <c r="M41">
        <f t="shared" si="4"/>
        <v>231628</v>
      </c>
    </row>
    <row r="42" spans="1:13" x14ac:dyDescent="0.3">
      <c r="A42" t="s">
        <v>7</v>
      </c>
      <c r="B42">
        <v>300</v>
      </c>
      <c r="C42">
        <v>399</v>
      </c>
      <c r="D42">
        <v>179</v>
      </c>
      <c r="E42" s="1">
        <v>59.666666666666671</v>
      </c>
      <c r="F42">
        <v>55</v>
      </c>
      <c r="G42">
        <v>2</v>
      </c>
      <c r="H42">
        <v>2223</v>
      </c>
      <c r="I42">
        <f t="shared" si="0"/>
        <v>397917</v>
      </c>
      <c r="J42">
        <f t="shared" si="1"/>
        <v>4541</v>
      </c>
      <c r="K42">
        <f t="shared" si="2"/>
        <v>0</v>
      </c>
      <c r="L42">
        <f t="shared" si="3"/>
        <v>358739</v>
      </c>
      <c r="M42">
        <f t="shared" si="4"/>
        <v>0</v>
      </c>
    </row>
    <row r="43" spans="1:13" x14ac:dyDescent="0.3">
      <c r="A43" t="s">
        <v>8</v>
      </c>
      <c r="B43">
        <v>250</v>
      </c>
      <c r="C43">
        <v>240</v>
      </c>
      <c r="D43">
        <v>150</v>
      </c>
      <c r="E43" s="1">
        <v>60</v>
      </c>
      <c r="F43">
        <v>38</v>
      </c>
      <c r="G43">
        <v>2</v>
      </c>
      <c r="H43">
        <v>5216</v>
      </c>
      <c r="I43">
        <f t="shared" si="0"/>
        <v>782400</v>
      </c>
      <c r="J43">
        <f t="shared" si="1"/>
        <v>7534</v>
      </c>
      <c r="K43">
        <f t="shared" si="2"/>
        <v>2898</v>
      </c>
      <c r="L43">
        <f t="shared" si="3"/>
        <v>595186</v>
      </c>
      <c r="M43">
        <f t="shared" si="4"/>
        <v>228942</v>
      </c>
    </row>
    <row r="44" spans="1:13" x14ac:dyDescent="0.3">
      <c r="A44" t="s">
        <v>11</v>
      </c>
      <c r="B44">
        <v>250</v>
      </c>
      <c r="C44">
        <v>200</v>
      </c>
      <c r="D44">
        <v>150</v>
      </c>
      <c r="E44" s="1">
        <v>60</v>
      </c>
      <c r="F44">
        <v>25</v>
      </c>
      <c r="G44">
        <v>2</v>
      </c>
      <c r="H44">
        <v>1920</v>
      </c>
      <c r="I44">
        <f t="shared" si="0"/>
        <v>288000</v>
      </c>
      <c r="J44">
        <f t="shared" si="1"/>
        <v>4238</v>
      </c>
      <c r="K44">
        <f t="shared" si="2"/>
        <v>0</v>
      </c>
      <c r="L44">
        <f t="shared" si="3"/>
        <v>334802</v>
      </c>
      <c r="M44">
        <f t="shared" si="4"/>
        <v>0</v>
      </c>
    </row>
    <row r="45" spans="1:13" x14ac:dyDescent="0.3">
      <c r="A45" t="s">
        <v>11</v>
      </c>
      <c r="B45">
        <v>250</v>
      </c>
      <c r="C45">
        <v>200</v>
      </c>
      <c r="D45">
        <v>150</v>
      </c>
      <c r="E45" s="1">
        <v>60</v>
      </c>
      <c r="F45">
        <v>25</v>
      </c>
      <c r="G45">
        <v>2</v>
      </c>
      <c r="H45">
        <v>1920</v>
      </c>
      <c r="I45">
        <f t="shared" si="0"/>
        <v>288000</v>
      </c>
      <c r="J45">
        <f t="shared" si="1"/>
        <v>4238</v>
      </c>
      <c r="K45">
        <f t="shared" si="2"/>
        <v>0</v>
      </c>
      <c r="L45">
        <f t="shared" si="3"/>
        <v>334802</v>
      </c>
      <c r="M45">
        <f t="shared" si="4"/>
        <v>0</v>
      </c>
    </row>
    <row r="46" spans="1:13" x14ac:dyDescent="0.3">
      <c r="A46" t="s">
        <v>7</v>
      </c>
      <c r="B46">
        <v>33</v>
      </c>
      <c r="C46">
        <v>30</v>
      </c>
      <c r="D46">
        <v>20</v>
      </c>
      <c r="E46" s="1">
        <v>60.606060606060609</v>
      </c>
      <c r="F46">
        <v>33</v>
      </c>
      <c r="G46">
        <v>2</v>
      </c>
      <c r="H46">
        <v>13693</v>
      </c>
      <c r="I46">
        <f t="shared" si="0"/>
        <v>273860</v>
      </c>
      <c r="J46">
        <f t="shared" si="1"/>
        <v>16011</v>
      </c>
      <c r="K46">
        <f t="shared" si="2"/>
        <v>11375</v>
      </c>
      <c r="L46">
        <f t="shared" si="3"/>
        <v>1264869</v>
      </c>
      <c r="M46">
        <f t="shared" si="4"/>
        <v>898625</v>
      </c>
    </row>
    <row r="47" spans="1:13" x14ac:dyDescent="0.3">
      <c r="A47" t="s">
        <v>7</v>
      </c>
      <c r="B47">
        <v>33</v>
      </c>
      <c r="C47">
        <v>30</v>
      </c>
      <c r="D47">
        <v>20</v>
      </c>
      <c r="E47" s="1">
        <v>60.606060606060609</v>
      </c>
      <c r="F47">
        <v>33</v>
      </c>
      <c r="G47">
        <v>2</v>
      </c>
      <c r="H47">
        <v>13693</v>
      </c>
      <c r="I47">
        <f t="shared" si="0"/>
        <v>273860</v>
      </c>
      <c r="J47">
        <f t="shared" si="1"/>
        <v>16011</v>
      </c>
      <c r="K47">
        <f t="shared" si="2"/>
        <v>11375</v>
      </c>
      <c r="L47">
        <f t="shared" si="3"/>
        <v>1264869</v>
      </c>
      <c r="M47">
        <f t="shared" si="4"/>
        <v>898625</v>
      </c>
    </row>
    <row r="48" spans="1:13" x14ac:dyDescent="0.3">
      <c r="A48" t="s">
        <v>7</v>
      </c>
      <c r="B48">
        <v>400</v>
      </c>
      <c r="C48">
        <v>325</v>
      </c>
      <c r="D48">
        <v>249</v>
      </c>
      <c r="E48" s="1">
        <v>62.250000000000007</v>
      </c>
      <c r="F48">
        <v>23</v>
      </c>
      <c r="G48">
        <v>2</v>
      </c>
      <c r="H48">
        <v>2016</v>
      </c>
      <c r="I48">
        <f t="shared" si="0"/>
        <v>501984</v>
      </c>
      <c r="J48">
        <f t="shared" si="1"/>
        <v>4334</v>
      </c>
      <c r="K48">
        <f t="shared" si="2"/>
        <v>0</v>
      </c>
      <c r="L48">
        <f t="shared" si="3"/>
        <v>342386</v>
      </c>
      <c r="M48">
        <f t="shared" si="4"/>
        <v>0</v>
      </c>
    </row>
    <row r="49" spans="1:13" x14ac:dyDescent="0.3">
      <c r="A49" t="s">
        <v>8</v>
      </c>
      <c r="B49">
        <v>500</v>
      </c>
      <c r="C49">
        <v>450</v>
      </c>
      <c r="D49">
        <v>315</v>
      </c>
      <c r="E49" s="1">
        <v>63</v>
      </c>
      <c r="F49">
        <v>30</v>
      </c>
      <c r="G49">
        <v>0</v>
      </c>
      <c r="H49">
        <v>6928</v>
      </c>
      <c r="I49">
        <f t="shared" si="0"/>
        <v>2182320</v>
      </c>
      <c r="J49">
        <f t="shared" si="1"/>
        <v>9246</v>
      </c>
      <c r="K49">
        <f t="shared" si="2"/>
        <v>4610</v>
      </c>
      <c r="L49">
        <f t="shared" si="3"/>
        <v>730434</v>
      </c>
      <c r="M49">
        <f t="shared" si="4"/>
        <v>364190</v>
      </c>
    </row>
    <row r="50" spans="1:13" x14ac:dyDescent="0.3">
      <c r="A50" t="s">
        <v>8</v>
      </c>
      <c r="B50">
        <v>500</v>
      </c>
      <c r="C50">
        <v>450</v>
      </c>
      <c r="D50">
        <v>315</v>
      </c>
      <c r="E50" s="1">
        <v>63</v>
      </c>
      <c r="F50">
        <v>30</v>
      </c>
      <c r="G50">
        <v>0</v>
      </c>
      <c r="H50">
        <v>6928</v>
      </c>
      <c r="I50">
        <f t="shared" si="0"/>
        <v>2182320</v>
      </c>
      <c r="J50">
        <f t="shared" si="1"/>
        <v>9246</v>
      </c>
      <c r="K50">
        <f t="shared" si="2"/>
        <v>4610</v>
      </c>
      <c r="L50">
        <f t="shared" si="3"/>
        <v>730434</v>
      </c>
      <c r="M50">
        <f t="shared" si="4"/>
        <v>364190</v>
      </c>
    </row>
    <row r="51" spans="1:13" x14ac:dyDescent="0.3">
      <c r="A51" t="s">
        <v>7</v>
      </c>
      <c r="B51">
        <v>400</v>
      </c>
      <c r="C51">
        <v>318</v>
      </c>
      <c r="D51">
        <v>256</v>
      </c>
      <c r="E51" s="1">
        <v>64</v>
      </c>
      <c r="F51">
        <v>19</v>
      </c>
      <c r="G51">
        <v>2</v>
      </c>
      <c r="H51">
        <v>2810</v>
      </c>
      <c r="I51">
        <f t="shared" si="0"/>
        <v>719360</v>
      </c>
      <c r="J51">
        <f t="shared" si="1"/>
        <v>5128</v>
      </c>
      <c r="K51">
        <f t="shared" si="2"/>
        <v>492</v>
      </c>
      <c r="L51">
        <f t="shared" si="3"/>
        <v>405112</v>
      </c>
      <c r="M51">
        <f t="shared" si="4"/>
        <v>38868</v>
      </c>
    </row>
    <row r="52" spans="1:13" x14ac:dyDescent="0.3">
      <c r="A52" t="s">
        <v>8</v>
      </c>
      <c r="B52">
        <v>250</v>
      </c>
      <c r="C52">
        <v>225</v>
      </c>
      <c r="D52">
        <v>161</v>
      </c>
      <c r="E52" s="1">
        <v>64.400000000000006</v>
      </c>
      <c r="F52">
        <v>28</v>
      </c>
      <c r="G52">
        <v>2</v>
      </c>
      <c r="H52">
        <v>5516</v>
      </c>
      <c r="I52">
        <f t="shared" si="0"/>
        <v>888076</v>
      </c>
      <c r="J52">
        <f t="shared" si="1"/>
        <v>7834</v>
      </c>
      <c r="K52">
        <f t="shared" si="2"/>
        <v>3198</v>
      </c>
      <c r="L52">
        <f t="shared" si="3"/>
        <v>618886</v>
      </c>
      <c r="M52">
        <f t="shared" si="4"/>
        <v>252642</v>
      </c>
    </row>
    <row r="53" spans="1:13" x14ac:dyDescent="0.3">
      <c r="A53" t="s">
        <v>8</v>
      </c>
      <c r="B53">
        <v>250</v>
      </c>
      <c r="C53">
        <v>225</v>
      </c>
      <c r="D53">
        <v>161</v>
      </c>
      <c r="E53" s="1">
        <v>64.400000000000006</v>
      </c>
      <c r="F53">
        <v>28</v>
      </c>
      <c r="G53">
        <v>2</v>
      </c>
      <c r="H53">
        <v>5516</v>
      </c>
      <c r="I53">
        <f t="shared" si="0"/>
        <v>888076</v>
      </c>
      <c r="J53">
        <f t="shared" si="1"/>
        <v>7834</v>
      </c>
      <c r="K53">
        <f t="shared" si="2"/>
        <v>3198</v>
      </c>
      <c r="L53">
        <f t="shared" si="3"/>
        <v>618886</v>
      </c>
      <c r="M53">
        <f t="shared" si="4"/>
        <v>252642</v>
      </c>
    </row>
    <row r="54" spans="1:13" x14ac:dyDescent="0.3">
      <c r="A54" t="s">
        <v>7</v>
      </c>
      <c r="B54">
        <v>200</v>
      </c>
      <c r="C54">
        <v>159</v>
      </c>
      <c r="D54">
        <v>129</v>
      </c>
      <c r="E54" s="1">
        <v>64.5</v>
      </c>
      <c r="F54">
        <v>19</v>
      </c>
      <c r="G54">
        <v>2</v>
      </c>
      <c r="H54">
        <v>2495</v>
      </c>
      <c r="I54">
        <f t="shared" si="0"/>
        <v>321855</v>
      </c>
      <c r="J54">
        <f t="shared" si="1"/>
        <v>4813</v>
      </c>
      <c r="K54">
        <f t="shared" si="2"/>
        <v>177</v>
      </c>
      <c r="L54">
        <f t="shared" si="3"/>
        <v>380227</v>
      </c>
      <c r="M54">
        <f t="shared" si="4"/>
        <v>13983</v>
      </c>
    </row>
    <row r="55" spans="1:13" x14ac:dyDescent="0.3">
      <c r="A55" t="s">
        <v>8</v>
      </c>
      <c r="B55">
        <v>160</v>
      </c>
      <c r="C55">
        <v>150</v>
      </c>
      <c r="D55">
        <v>104</v>
      </c>
      <c r="E55" s="1">
        <v>65</v>
      </c>
      <c r="F55">
        <v>31</v>
      </c>
      <c r="G55">
        <v>2</v>
      </c>
      <c r="H55">
        <v>4282</v>
      </c>
      <c r="I55">
        <f t="shared" si="0"/>
        <v>445328</v>
      </c>
      <c r="J55">
        <f t="shared" si="1"/>
        <v>6600</v>
      </c>
      <c r="K55">
        <f t="shared" si="2"/>
        <v>1964</v>
      </c>
      <c r="L55">
        <f t="shared" si="3"/>
        <v>521400</v>
      </c>
      <c r="M55">
        <f t="shared" si="4"/>
        <v>155156</v>
      </c>
    </row>
    <row r="56" spans="1:13" x14ac:dyDescent="0.3">
      <c r="A56" t="s">
        <v>7</v>
      </c>
      <c r="B56">
        <v>200</v>
      </c>
      <c r="C56">
        <v>299</v>
      </c>
      <c r="D56">
        <v>130</v>
      </c>
      <c r="E56" s="1">
        <v>65</v>
      </c>
      <c r="F56">
        <v>57</v>
      </c>
      <c r="G56">
        <v>2</v>
      </c>
      <c r="H56">
        <v>21892</v>
      </c>
      <c r="I56">
        <f t="shared" si="0"/>
        <v>2845960</v>
      </c>
      <c r="J56">
        <f t="shared" si="1"/>
        <v>24210</v>
      </c>
      <c r="K56">
        <f t="shared" si="2"/>
        <v>19574</v>
      </c>
      <c r="L56">
        <f t="shared" si="3"/>
        <v>1912590</v>
      </c>
      <c r="M56">
        <f t="shared" si="4"/>
        <v>1546346</v>
      </c>
    </row>
    <row r="57" spans="1:13" x14ac:dyDescent="0.3">
      <c r="A57" t="s">
        <v>7</v>
      </c>
      <c r="B57">
        <v>200</v>
      </c>
      <c r="C57">
        <v>299</v>
      </c>
      <c r="D57">
        <v>130</v>
      </c>
      <c r="E57" s="1">
        <v>65</v>
      </c>
      <c r="F57">
        <v>57</v>
      </c>
      <c r="G57">
        <v>2</v>
      </c>
      <c r="H57">
        <v>21892</v>
      </c>
      <c r="I57">
        <f t="shared" si="0"/>
        <v>2845960</v>
      </c>
      <c r="J57">
        <f t="shared" si="1"/>
        <v>24210</v>
      </c>
      <c r="K57">
        <f t="shared" si="2"/>
        <v>19574</v>
      </c>
      <c r="L57">
        <f t="shared" si="3"/>
        <v>1912590</v>
      </c>
      <c r="M57">
        <f t="shared" si="4"/>
        <v>1546346</v>
      </c>
    </row>
    <row r="58" spans="1:13" x14ac:dyDescent="0.3">
      <c r="A58" t="s">
        <v>8</v>
      </c>
      <c r="B58">
        <v>200</v>
      </c>
      <c r="C58">
        <v>199</v>
      </c>
      <c r="D58">
        <v>131</v>
      </c>
      <c r="E58" s="1">
        <v>65.5</v>
      </c>
      <c r="F58">
        <v>34</v>
      </c>
      <c r="G58">
        <v>2</v>
      </c>
      <c r="H58">
        <v>4893</v>
      </c>
      <c r="I58">
        <f t="shared" si="0"/>
        <v>640983</v>
      </c>
      <c r="J58">
        <f t="shared" si="1"/>
        <v>7211</v>
      </c>
      <c r="K58">
        <f t="shared" si="2"/>
        <v>2575</v>
      </c>
      <c r="L58">
        <f t="shared" si="3"/>
        <v>569669</v>
      </c>
      <c r="M58">
        <f t="shared" si="4"/>
        <v>203425</v>
      </c>
    </row>
    <row r="59" spans="1:13" x14ac:dyDescent="0.3">
      <c r="A59" t="s">
        <v>8</v>
      </c>
      <c r="B59">
        <v>160</v>
      </c>
      <c r="C59">
        <v>150</v>
      </c>
      <c r="D59">
        <v>105</v>
      </c>
      <c r="E59" s="1">
        <v>65.625</v>
      </c>
      <c r="F59">
        <v>30</v>
      </c>
      <c r="G59">
        <v>2</v>
      </c>
      <c r="H59">
        <v>4282</v>
      </c>
      <c r="I59">
        <f t="shared" si="0"/>
        <v>449610</v>
      </c>
      <c r="J59">
        <f t="shared" si="1"/>
        <v>6600</v>
      </c>
      <c r="K59">
        <f t="shared" si="2"/>
        <v>1964</v>
      </c>
      <c r="L59">
        <f t="shared" si="3"/>
        <v>521400</v>
      </c>
      <c r="M59">
        <f t="shared" si="4"/>
        <v>155156</v>
      </c>
    </row>
    <row r="60" spans="1:13" x14ac:dyDescent="0.3">
      <c r="A60" t="s">
        <v>10</v>
      </c>
      <c r="B60">
        <v>325</v>
      </c>
      <c r="C60">
        <v>235</v>
      </c>
      <c r="D60">
        <v>221</v>
      </c>
      <c r="E60" s="1">
        <v>68</v>
      </c>
      <c r="F60">
        <v>5</v>
      </c>
      <c r="G60">
        <v>2</v>
      </c>
      <c r="H60">
        <v>1259</v>
      </c>
      <c r="I60">
        <f t="shared" si="0"/>
        <v>278239</v>
      </c>
      <c r="J60">
        <f t="shared" si="1"/>
        <v>3577</v>
      </c>
      <c r="K60">
        <f t="shared" si="2"/>
        <v>0</v>
      </c>
      <c r="L60">
        <f t="shared" si="3"/>
        <v>282583</v>
      </c>
      <c r="M60">
        <f t="shared" si="4"/>
        <v>0</v>
      </c>
    </row>
    <row r="61" spans="1:13" x14ac:dyDescent="0.3">
      <c r="A61" t="s">
        <v>10</v>
      </c>
      <c r="B61">
        <v>325</v>
      </c>
      <c r="C61">
        <v>235</v>
      </c>
      <c r="D61">
        <v>221</v>
      </c>
      <c r="E61" s="1">
        <v>68</v>
      </c>
      <c r="F61">
        <v>5</v>
      </c>
      <c r="G61">
        <v>2</v>
      </c>
      <c r="H61">
        <v>1259</v>
      </c>
      <c r="I61">
        <f t="shared" si="0"/>
        <v>278239</v>
      </c>
      <c r="J61">
        <f t="shared" si="1"/>
        <v>3577</v>
      </c>
      <c r="K61">
        <f t="shared" si="2"/>
        <v>0</v>
      </c>
      <c r="L61">
        <f t="shared" si="3"/>
        <v>282583</v>
      </c>
      <c r="M61">
        <f t="shared" si="4"/>
        <v>0</v>
      </c>
    </row>
    <row r="62" spans="1:13" x14ac:dyDescent="0.3">
      <c r="A62" t="s">
        <v>8</v>
      </c>
      <c r="B62">
        <v>500</v>
      </c>
      <c r="C62">
        <v>450</v>
      </c>
      <c r="D62">
        <v>352</v>
      </c>
      <c r="E62" s="1">
        <v>70.399999999999991</v>
      </c>
      <c r="F62">
        <v>22</v>
      </c>
      <c r="G62">
        <v>0</v>
      </c>
      <c r="H62">
        <v>2312</v>
      </c>
      <c r="I62">
        <f t="shared" si="0"/>
        <v>813824</v>
      </c>
      <c r="J62">
        <f t="shared" si="1"/>
        <v>4630</v>
      </c>
      <c r="K62">
        <f t="shared" si="2"/>
        <v>0</v>
      </c>
      <c r="L62">
        <f t="shared" si="3"/>
        <v>365770</v>
      </c>
      <c r="M62">
        <f t="shared" si="4"/>
        <v>0</v>
      </c>
    </row>
    <row r="63" spans="1:13" x14ac:dyDescent="0.3">
      <c r="A63" t="s">
        <v>11</v>
      </c>
      <c r="B63">
        <v>250</v>
      </c>
      <c r="C63">
        <v>260</v>
      </c>
      <c r="D63">
        <v>180</v>
      </c>
      <c r="E63" s="1">
        <v>72</v>
      </c>
      <c r="F63">
        <v>30</v>
      </c>
      <c r="G63">
        <v>2</v>
      </c>
      <c r="H63">
        <v>1162</v>
      </c>
      <c r="I63">
        <f t="shared" si="0"/>
        <v>209160</v>
      </c>
      <c r="J63">
        <f t="shared" si="1"/>
        <v>3480</v>
      </c>
      <c r="K63">
        <f t="shared" si="2"/>
        <v>0</v>
      </c>
      <c r="L63">
        <f t="shared" si="3"/>
        <v>274920</v>
      </c>
      <c r="M63">
        <f t="shared" si="4"/>
        <v>0</v>
      </c>
    </row>
    <row r="64" spans="1:13" x14ac:dyDescent="0.3">
      <c r="A64" t="s">
        <v>11</v>
      </c>
      <c r="B64">
        <v>250</v>
      </c>
      <c r="C64">
        <v>260</v>
      </c>
      <c r="D64">
        <v>180</v>
      </c>
      <c r="E64" s="1">
        <v>72</v>
      </c>
      <c r="F64">
        <v>30</v>
      </c>
      <c r="G64">
        <v>2</v>
      </c>
      <c r="H64">
        <v>1162</v>
      </c>
      <c r="I64">
        <f t="shared" si="0"/>
        <v>209160</v>
      </c>
      <c r="J64">
        <f t="shared" si="1"/>
        <v>3480</v>
      </c>
      <c r="K64">
        <f t="shared" si="2"/>
        <v>0</v>
      </c>
      <c r="L64">
        <f t="shared" si="3"/>
        <v>274920</v>
      </c>
      <c r="M64">
        <f t="shared" si="4"/>
        <v>0</v>
      </c>
    </row>
    <row r="65" spans="1:13" x14ac:dyDescent="0.3">
      <c r="A65" t="s">
        <v>8</v>
      </c>
      <c r="B65">
        <v>1000</v>
      </c>
      <c r="C65">
        <v>1095</v>
      </c>
      <c r="D65">
        <v>745</v>
      </c>
      <c r="E65" s="1">
        <v>74.5</v>
      </c>
      <c r="F65">
        <v>32</v>
      </c>
      <c r="G65">
        <v>0</v>
      </c>
      <c r="H65">
        <v>4506</v>
      </c>
      <c r="I65">
        <f t="shared" si="0"/>
        <v>3356970</v>
      </c>
      <c r="J65">
        <f t="shared" si="1"/>
        <v>6824</v>
      </c>
      <c r="K65">
        <f t="shared" si="2"/>
        <v>2188</v>
      </c>
      <c r="L65">
        <f t="shared" si="3"/>
        <v>539096</v>
      </c>
      <c r="M65">
        <f t="shared" si="4"/>
        <v>172852</v>
      </c>
    </row>
    <row r="66" spans="1:13" x14ac:dyDescent="0.3">
      <c r="A66" t="s">
        <v>11</v>
      </c>
      <c r="B66">
        <v>350</v>
      </c>
      <c r="C66">
        <v>350</v>
      </c>
      <c r="D66">
        <v>262</v>
      </c>
      <c r="E66" s="1">
        <v>74.857142857142861</v>
      </c>
      <c r="F66">
        <v>25</v>
      </c>
      <c r="G66">
        <v>2</v>
      </c>
      <c r="H66">
        <v>321</v>
      </c>
      <c r="I66">
        <f t="shared" si="0"/>
        <v>84102</v>
      </c>
      <c r="J66">
        <f t="shared" si="1"/>
        <v>2639</v>
      </c>
      <c r="K66">
        <f t="shared" si="2"/>
        <v>0</v>
      </c>
      <c r="L66">
        <f t="shared" si="3"/>
        <v>208481</v>
      </c>
      <c r="M66">
        <f t="shared" si="4"/>
        <v>0</v>
      </c>
    </row>
    <row r="67" spans="1:13" x14ac:dyDescent="0.3">
      <c r="A67" t="s">
        <v>11</v>
      </c>
      <c r="B67">
        <v>350</v>
      </c>
      <c r="C67">
        <v>350</v>
      </c>
      <c r="D67">
        <v>262</v>
      </c>
      <c r="E67" s="1">
        <v>74.857142857142861</v>
      </c>
      <c r="F67">
        <v>25</v>
      </c>
      <c r="G67">
        <v>2</v>
      </c>
      <c r="H67">
        <v>321</v>
      </c>
      <c r="I67">
        <f t="shared" ref="I67:I130" si="5">D67*H67</f>
        <v>84102</v>
      </c>
      <c r="J67">
        <f t="shared" ref="J67:J130" si="6">H67+2318</f>
        <v>2639</v>
      </c>
      <c r="K67">
        <f t="shared" ref="K67:K130" si="7">IF(H67-2318&lt;=0,0,H67-2318)</f>
        <v>0</v>
      </c>
      <c r="L67">
        <f t="shared" ref="L67:L130" si="8">J67*$D$2</f>
        <v>208481</v>
      </c>
      <c r="M67">
        <f t="shared" ref="M67:M130" si="9">K67*$D$2</f>
        <v>0</v>
      </c>
    </row>
    <row r="68" spans="1:13" x14ac:dyDescent="0.3">
      <c r="A68" t="s">
        <v>7</v>
      </c>
      <c r="B68">
        <v>400</v>
      </c>
      <c r="C68">
        <v>490</v>
      </c>
      <c r="D68">
        <v>302</v>
      </c>
      <c r="E68" s="1">
        <v>75.5</v>
      </c>
      <c r="F68">
        <v>38</v>
      </c>
      <c r="G68">
        <v>2</v>
      </c>
      <c r="H68">
        <v>4698</v>
      </c>
      <c r="I68">
        <f t="shared" si="5"/>
        <v>1418796</v>
      </c>
      <c r="J68">
        <f t="shared" si="6"/>
        <v>7016</v>
      </c>
      <c r="K68">
        <f t="shared" si="7"/>
        <v>2380</v>
      </c>
      <c r="L68">
        <f t="shared" si="8"/>
        <v>554264</v>
      </c>
      <c r="M68">
        <f t="shared" si="9"/>
        <v>188020</v>
      </c>
    </row>
    <row r="69" spans="1:13" x14ac:dyDescent="0.3">
      <c r="A69" t="s">
        <v>7</v>
      </c>
      <c r="B69">
        <v>33</v>
      </c>
      <c r="C69">
        <v>30</v>
      </c>
      <c r="D69">
        <v>25</v>
      </c>
      <c r="E69" s="1">
        <v>75.757575757575751</v>
      </c>
      <c r="F69">
        <v>17</v>
      </c>
      <c r="G69">
        <v>2</v>
      </c>
      <c r="H69">
        <v>10003</v>
      </c>
      <c r="I69">
        <f t="shared" si="5"/>
        <v>250075</v>
      </c>
      <c r="J69">
        <f t="shared" si="6"/>
        <v>12321</v>
      </c>
      <c r="K69">
        <f t="shared" si="7"/>
        <v>7685</v>
      </c>
      <c r="L69">
        <f t="shared" si="8"/>
        <v>973359</v>
      </c>
      <c r="M69">
        <f t="shared" si="9"/>
        <v>607115</v>
      </c>
    </row>
    <row r="70" spans="1:13" x14ac:dyDescent="0.3">
      <c r="A70" t="s">
        <v>7</v>
      </c>
      <c r="B70">
        <v>33</v>
      </c>
      <c r="C70">
        <v>30</v>
      </c>
      <c r="D70">
        <v>25</v>
      </c>
      <c r="E70" s="1">
        <v>75.757575757575751</v>
      </c>
      <c r="F70">
        <v>17</v>
      </c>
      <c r="G70">
        <v>2</v>
      </c>
      <c r="H70">
        <v>10003</v>
      </c>
      <c r="I70">
        <f t="shared" si="5"/>
        <v>250075</v>
      </c>
      <c r="J70">
        <f t="shared" si="6"/>
        <v>12321</v>
      </c>
      <c r="K70">
        <f t="shared" si="7"/>
        <v>7685</v>
      </c>
      <c r="L70">
        <f t="shared" si="8"/>
        <v>973359</v>
      </c>
      <c r="M70">
        <f t="shared" si="9"/>
        <v>607115</v>
      </c>
    </row>
    <row r="71" spans="1:13" x14ac:dyDescent="0.3">
      <c r="A71" t="s">
        <v>7</v>
      </c>
      <c r="B71">
        <v>200</v>
      </c>
      <c r="C71">
        <v>245</v>
      </c>
      <c r="D71">
        <v>153</v>
      </c>
      <c r="E71" s="1">
        <v>76.5</v>
      </c>
      <c r="F71">
        <v>38</v>
      </c>
      <c r="G71">
        <v>2</v>
      </c>
      <c r="H71">
        <v>5216</v>
      </c>
      <c r="I71">
        <f t="shared" si="5"/>
        <v>798048</v>
      </c>
      <c r="J71">
        <f t="shared" si="6"/>
        <v>7534</v>
      </c>
      <c r="K71">
        <f t="shared" si="7"/>
        <v>2898</v>
      </c>
      <c r="L71">
        <f t="shared" si="8"/>
        <v>595186</v>
      </c>
      <c r="M71">
        <f t="shared" si="9"/>
        <v>228942</v>
      </c>
    </row>
    <row r="72" spans="1:13" x14ac:dyDescent="0.3">
      <c r="A72" t="s">
        <v>7</v>
      </c>
      <c r="B72">
        <v>400</v>
      </c>
      <c r="C72">
        <v>798</v>
      </c>
      <c r="D72">
        <v>311</v>
      </c>
      <c r="E72" s="1">
        <v>77.75</v>
      </c>
      <c r="F72">
        <v>61</v>
      </c>
      <c r="G72">
        <v>2</v>
      </c>
      <c r="H72">
        <v>21685</v>
      </c>
      <c r="I72">
        <f t="shared" si="5"/>
        <v>6744035</v>
      </c>
      <c r="J72">
        <f t="shared" si="6"/>
        <v>24003</v>
      </c>
      <c r="K72">
        <f t="shared" si="7"/>
        <v>19367</v>
      </c>
      <c r="L72">
        <f t="shared" si="8"/>
        <v>1896237</v>
      </c>
      <c r="M72">
        <f t="shared" si="9"/>
        <v>1529993</v>
      </c>
    </row>
    <row r="73" spans="1:13" x14ac:dyDescent="0.3">
      <c r="A73" t="s">
        <v>7</v>
      </c>
      <c r="B73">
        <v>400</v>
      </c>
      <c r="C73">
        <v>500</v>
      </c>
      <c r="D73">
        <v>315</v>
      </c>
      <c r="E73" s="1">
        <v>78.75</v>
      </c>
      <c r="F73">
        <v>37</v>
      </c>
      <c r="G73">
        <v>2</v>
      </c>
      <c r="H73">
        <v>4698</v>
      </c>
      <c r="I73">
        <f t="shared" si="5"/>
        <v>1479870</v>
      </c>
      <c r="J73">
        <f t="shared" si="6"/>
        <v>7016</v>
      </c>
      <c r="K73">
        <f t="shared" si="7"/>
        <v>2380</v>
      </c>
      <c r="L73">
        <f t="shared" si="8"/>
        <v>554264</v>
      </c>
      <c r="M73">
        <f t="shared" si="9"/>
        <v>188020</v>
      </c>
    </row>
    <row r="74" spans="1:13" x14ac:dyDescent="0.3">
      <c r="A74" t="s">
        <v>7</v>
      </c>
      <c r="B74">
        <v>99</v>
      </c>
      <c r="C74">
        <v>90</v>
      </c>
      <c r="D74">
        <v>78</v>
      </c>
      <c r="E74" s="1">
        <v>78.787878787878782</v>
      </c>
      <c r="F74">
        <v>13</v>
      </c>
      <c r="G74">
        <v>2</v>
      </c>
      <c r="H74">
        <v>1395</v>
      </c>
      <c r="I74">
        <f t="shared" si="5"/>
        <v>108810</v>
      </c>
      <c r="J74">
        <f t="shared" si="6"/>
        <v>3713</v>
      </c>
      <c r="K74">
        <f t="shared" si="7"/>
        <v>0</v>
      </c>
      <c r="L74">
        <f t="shared" si="8"/>
        <v>293327</v>
      </c>
      <c r="M74">
        <f t="shared" si="9"/>
        <v>0</v>
      </c>
    </row>
    <row r="75" spans="1:13" x14ac:dyDescent="0.3">
      <c r="A75" t="s">
        <v>7</v>
      </c>
      <c r="B75">
        <v>99</v>
      </c>
      <c r="C75">
        <v>90</v>
      </c>
      <c r="D75">
        <v>78</v>
      </c>
      <c r="E75" s="1">
        <v>78.787878787878782</v>
      </c>
      <c r="F75">
        <v>13</v>
      </c>
      <c r="G75">
        <v>2</v>
      </c>
      <c r="H75">
        <v>1395</v>
      </c>
      <c r="I75">
        <f t="shared" si="5"/>
        <v>108810</v>
      </c>
      <c r="J75">
        <f t="shared" si="6"/>
        <v>3713</v>
      </c>
      <c r="K75">
        <f t="shared" si="7"/>
        <v>0</v>
      </c>
      <c r="L75">
        <f t="shared" si="8"/>
        <v>293327</v>
      </c>
      <c r="M75">
        <f t="shared" si="9"/>
        <v>0</v>
      </c>
    </row>
    <row r="76" spans="1:13" x14ac:dyDescent="0.3">
      <c r="A76" t="s">
        <v>8</v>
      </c>
      <c r="B76">
        <v>900</v>
      </c>
      <c r="C76">
        <v>1650</v>
      </c>
      <c r="D76">
        <v>711</v>
      </c>
      <c r="E76" s="1">
        <v>79</v>
      </c>
      <c r="F76">
        <v>57</v>
      </c>
      <c r="G76">
        <v>0</v>
      </c>
      <c r="H76">
        <v>21624</v>
      </c>
      <c r="I76">
        <f t="shared" si="5"/>
        <v>15374664</v>
      </c>
      <c r="J76">
        <f t="shared" si="6"/>
        <v>23942</v>
      </c>
      <c r="K76">
        <f t="shared" si="7"/>
        <v>19306</v>
      </c>
      <c r="L76">
        <f t="shared" si="8"/>
        <v>1891418</v>
      </c>
      <c r="M76">
        <f t="shared" si="9"/>
        <v>1525174</v>
      </c>
    </row>
    <row r="77" spans="1:13" x14ac:dyDescent="0.3">
      <c r="A77" t="s">
        <v>7</v>
      </c>
      <c r="B77">
        <v>200</v>
      </c>
      <c r="C77">
        <v>399</v>
      </c>
      <c r="D77">
        <v>159</v>
      </c>
      <c r="E77" s="1">
        <v>79.5</v>
      </c>
      <c r="F77">
        <v>60</v>
      </c>
      <c r="G77">
        <v>2</v>
      </c>
      <c r="H77">
        <v>21304</v>
      </c>
      <c r="I77">
        <f t="shared" si="5"/>
        <v>3387336</v>
      </c>
      <c r="J77">
        <f t="shared" si="6"/>
        <v>23622</v>
      </c>
      <c r="K77">
        <f t="shared" si="7"/>
        <v>18986</v>
      </c>
      <c r="L77">
        <f t="shared" si="8"/>
        <v>1866138</v>
      </c>
      <c r="M77">
        <f t="shared" si="9"/>
        <v>1499894</v>
      </c>
    </row>
    <row r="78" spans="1:13" x14ac:dyDescent="0.3">
      <c r="A78" t="s">
        <v>7</v>
      </c>
      <c r="B78">
        <v>200</v>
      </c>
      <c r="C78">
        <v>250</v>
      </c>
      <c r="D78">
        <v>159</v>
      </c>
      <c r="E78" s="1">
        <v>79.5</v>
      </c>
      <c r="F78">
        <v>36</v>
      </c>
      <c r="G78">
        <v>2</v>
      </c>
      <c r="H78">
        <v>5216</v>
      </c>
      <c r="I78">
        <f t="shared" si="5"/>
        <v>829344</v>
      </c>
      <c r="J78">
        <f t="shared" si="6"/>
        <v>7534</v>
      </c>
      <c r="K78">
        <f t="shared" si="7"/>
        <v>2898</v>
      </c>
      <c r="L78">
        <f t="shared" si="8"/>
        <v>595186</v>
      </c>
      <c r="M78">
        <f t="shared" si="9"/>
        <v>228942</v>
      </c>
    </row>
    <row r="79" spans="1:13" x14ac:dyDescent="0.3">
      <c r="A79" t="s">
        <v>8</v>
      </c>
      <c r="B79">
        <v>200</v>
      </c>
      <c r="C79">
        <v>245</v>
      </c>
      <c r="D79">
        <v>159</v>
      </c>
      <c r="E79" s="1">
        <v>79.5</v>
      </c>
      <c r="F79">
        <v>35</v>
      </c>
      <c r="G79">
        <v>2</v>
      </c>
      <c r="H79">
        <v>5158</v>
      </c>
      <c r="I79">
        <f t="shared" si="5"/>
        <v>820122</v>
      </c>
      <c r="J79">
        <f t="shared" si="6"/>
        <v>7476</v>
      </c>
      <c r="K79">
        <f t="shared" si="7"/>
        <v>2840</v>
      </c>
      <c r="L79">
        <f t="shared" si="8"/>
        <v>590604</v>
      </c>
      <c r="M79">
        <f t="shared" si="9"/>
        <v>224360</v>
      </c>
    </row>
    <row r="80" spans="1:13" x14ac:dyDescent="0.3">
      <c r="A80" t="s">
        <v>8</v>
      </c>
      <c r="B80">
        <v>250</v>
      </c>
      <c r="C80">
        <v>315</v>
      </c>
      <c r="D80">
        <v>200</v>
      </c>
      <c r="E80" s="1">
        <v>80</v>
      </c>
      <c r="F80">
        <v>37</v>
      </c>
      <c r="G80">
        <v>2</v>
      </c>
      <c r="H80">
        <v>2082</v>
      </c>
      <c r="I80">
        <f t="shared" si="5"/>
        <v>416400</v>
      </c>
      <c r="J80">
        <f t="shared" si="6"/>
        <v>4400</v>
      </c>
      <c r="K80">
        <f t="shared" si="7"/>
        <v>0</v>
      </c>
      <c r="L80">
        <f t="shared" si="8"/>
        <v>347600</v>
      </c>
      <c r="M80">
        <f t="shared" si="9"/>
        <v>0</v>
      </c>
    </row>
    <row r="81" spans="1:13" x14ac:dyDescent="0.3">
      <c r="A81" t="s">
        <v>7</v>
      </c>
      <c r="B81">
        <v>66</v>
      </c>
      <c r="C81">
        <v>60</v>
      </c>
      <c r="D81">
        <v>53</v>
      </c>
      <c r="E81" s="1">
        <v>80.303030303030297</v>
      </c>
      <c r="F81">
        <v>12</v>
      </c>
      <c r="G81">
        <v>2</v>
      </c>
      <c r="H81">
        <v>13264</v>
      </c>
      <c r="I81">
        <f t="shared" si="5"/>
        <v>702992</v>
      </c>
      <c r="J81">
        <f t="shared" si="6"/>
        <v>15582</v>
      </c>
      <c r="K81">
        <f t="shared" si="7"/>
        <v>10946</v>
      </c>
      <c r="L81">
        <f t="shared" si="8"/>
        <v>1230978</v>
      </c>
      <c r="M81">
        <f t="shared" si="9"/>
        <v>864734</v>
      </c>
    </row>
    <row r="82" spans="1:13" x14ac:dyDescent="0.3">
      <c r="A82" t="s">
        <v>7</v>
      </c>
      <c r="B82">
        <v>66</v>
      </c>
      <c r="C82">
        <v>60</v>
      </c>
      <c r="D82">
        <v>53</v>
      </c>
      <c r="E82" s="1">
        <v>80.303030303030297</v>
      </c>
      <c r="F82">
        <v>12</v>
      </c>
      <c r="G82">
        <v>2</v>
      </c>
      <c r="H82">
        <v>13264</v>
      </c>
      <c r="I82">
        <f t="shared" si="5"/>
        <v>702992</v>
      </c>
      <c r="J82">
        <f t="shared" si="6"/>
        <v>15582</v>
      </c>
      <c r="K82">
        <f t="shared" si="7"/>
        <v>10946</v>
      </c>
      <c r="L82">
        <f t="shared" si="8"/>
        <v>1230978</v>
      </c>
      <c r="M82">
        <f t="shared" si="9"/>
        <v>864734</v>
      </c>
    </row>
    <row r="83" spans="1:13" x14ac:dyDescent="0.3">
      <c r="A83" t="s">
        <v>7</v>
      </c>
      <c r="B83">
        <v>66</v>
      </c>
      <c r="C83">
        <v>60</v>
      </c>
      <c r="D83">
        <v>53</v>
      </c>
      <c r="E83" s="1">
        <v>80.303030303030297</v>
      </c>
      <c r="F83">
        <v>12</v>
      </c>
      <c r="G83">
        <v>2</v>
      </c>
      <c r="H83">
        <v>13264</v>
      </c>
      <c r="I83">
        <f t="shared" si="5"/>
        <v>702992</v>
      </c>
      <c r="J83">
        <f t="shared" si="6"/>
        <v>15582</v>
      </c>
      <c r="K83">
        <f t="shared" si="7"/>
        <v>10946</v>
      </c>
      <c r="L83">
        <f t="shared" si="8"/>
        <v>1230978</v>
      </c>
      <c r="M83">
        <f t="shared" si="9"/>
        <v>864734</v>
      </c>
    </row>
    <row r="84" spans="1:13" x14ac:dyDescent="0.3">
      <c r="A84" t="s">
        <v>7</v>
      </c>
      <c r="B84">
        <v>66</v>
      </c>
      <c r="C84">
        <v>60</v>
      </c>
      <c r="D84">
        <v>53</v>
      </c>
      <c r="E84" s="1">
        <v>80.303030303030297</v>
      </c>
      <c r="F84">
        <v>12</v>
      </c>
      <c r="G84">
        <v>2</v>
      </c>
      <c r="H84">
        <v>13264</v>
      </c>
      <c r="I84">
        <f t="shared" si="5"/>
        <v>702992</v>
      </c>
      <c r="J84">
        <f t="shared" si="6"/>
        <v>15582</v>
      </c>
      <c r="K84">
        <f t="shared" si="7"/>
        <v>10946</v>
      </c>
      <c r="L84">
        <f t="shared" si="8"/>
        <v>1230978</v>
      </c>
      <c r="M84">
        <f t="shared" si="9"/>
        <v>864734</v>
      </c>
    </row>
    <row r="85" spans="1:13" x14ac:dyDescent="0.3">
      <c r="A85" t="s">
        <v>8</v>
      </c>
      <c r="B85">
        <v>405</v>
      </c>
      <c r="C85">
        <v>599</v>
      </c>
      <c r="D85">
        <v>339</v>
      </c>
      <c r="E85" s="1">
        <v>83.703703703703695</v>
      </c>
      <c r="F85">
        <v>43</v>
      </c>
      <c r="G85">
        <v>2</v>
      </c>
      <c r="H85">
        <v>2750</v>
      </c>
      <c r="I85">
        <f t="shared" si="5"/>
        <v>932250</v>
      </c>
      <c r="J85">
        <f t="shared" si="6"/>
        <v>5068</v>
      </c>
      <c r="K85">
        <f t="shared" si="7"/>
        <v>432</v>
      </c>
      <c r="L85">
        <f t="shared" si="8"/>
        <v>400372</v>
      </c>
      <c r="M85">
        <f t="shared" si="9"/>
        <v>34128</v>
      </c>
    </row>
    <row r="86" spans="1:13" x14ac:dyDescent="0.3">
      <c r="A86" t="s">
        <v>8</v>
      </c>
      <c r="B86">
        <v>405</v>
      </c>
      <c r="C86">
        <v>599</v>
      </c>
      <c r="D86">
        <v>339</v>
      </c>
      <c r="E86" s="1">
        <v>83.703703703703695</v>
      </c>
      <c r="F86">
        <v>43</v>
      </c>
      <c r="G86">
        <v>2</v>
      </c>
      <c r="H86">
        <v>2750</v>
      </c>
      <c r="I86">
        <f t="shared" si="5"/>
        <v>932250</v>
      </c>
      <c r="J86">
        <f t="shared" si="6"/>
        <v>5068</v>
      </c>
      <c r="K86">
        <f t="shared" si="7"/>
        <v>432</v>
      </c>
      <c r="L86">
        <f t="shared" si="8"/>
        <v>400372</v>
      </c>
      <c r="M86">
        <f t="shared" si="9"/>
        <v>34128</v>
      </c>
    </row>
    <row r="87" spans="1:13" x14ac:dyDescent="0.3">
      <c r="A87" t="s">
        <v>7</v>
      </c>
      <c r="B87">
        <v>35</v>
      </c>
      <c r="C87">
        <v>50</v>
      </c>
      <c r="D87">
        <v>30</v>
      </c>
      <c r="E87" s="1">
        <v>85.714285714285708</v>
      </c>
      <c r="F87">
        <v>40</v>
      </c>
      <c r="G87">
        <v>2</v>
      </c>
      <c r="H87">
        <v>13965</v>
      </c>
      <c r="I87">
        <f t="shared" si="5"/>
        <v>418950</v>
      </c>
      <c r="J87">
        <f t="shared" si="6"/>
        <v>16283</v>
      </c>
      <c r="K87">
        <f t="shared" si="7"/>
        <v>11647</v>
      </c>
      <c r="L87">
        <f t="shared" si="8"/>
        <v>1286357</v>
      </c>
      <c r="M87">
        <f t="shared" si="9"/>
        <v>920113</v>
      </c>
    </row>
    <row r="88" spans="1:13" x14ac:dyDescent="0.3">
      <c r="A88" t="s">
        <v>7</v>
      </c>
      <c r="B88">
        <v>35</v>
      </c>
      <c r="C88">
        <v>50</v>
      </c>
      <c r="D88">
        <v>30</v>
      </c>
      <c r="E88" s="1">
        <v>85.714285714285708</v>
      </c>
      <c r="F88">
        <v>40</v>
      </c>
      <c r="G88">
        <v>2</v>
      </c>
      <c r="H88">
        <v>13965</v>
      </c>
      <c r="I88">
        <f t="shared" si="5"/>
        <v>418950</v>
      </c>
      <c r="J88">
        <f t="shared" si="6"/>
        <v>16283</v>
      </c>
      <c r="K88">
        <f t="shared" si="7"/>
        <v>11647</v>
      </c>
      <c r="L88">
        <f t="shared" si="8"/>
        <v>1286357</v>
      </c>
      <c r="M88">
        <f t="shared" si="9"/>
        <v>920113</v>
      </c>
    </row>
    <row r="89" spans="1:13" x14ac:dyDescent="0.3">
      <c r="A89" t="s">
        <v>7</v>
      </c>
      <c r="B89">
        <v>405</v>
      </c>
      <c r="C89">
        <v>549</v>
      </c>
      <c r="D89">
        <v>349</v>
      </c>
      <c r="E89" s="1">
        <v>86.172839506172835</v>
      </c>
      <c r="F89">
        <v>36</v>
      </c>
      <c r="G89">
        <v>2</v>
      </c>
      <c r="H89">
        <v>8100</v>
      </c>
      <c r="I89">
        <f t="shared" si="5"/>
        <v>2826900</v>
      </c>
      <c r="J89">
        <f t="shared" si="6"/>
        <v>10418</v>
      </c>
      <c r="K89">
        <f t="shared" si="7"/>
        <v>5782</v>
      </c>
      <c r="L89">
        <f t="shared" si="8"/>
        <v>823022</v>
      </c>
      <c r="M89">
        <f t="shared" si="9"/>
        <v>456778</v>
      </c>
    </row>
    <row r="90" spans="1:13" x14ac:dyDescent="0.3">
      <c r="A90" t="s">
        <v>7</v>
      </c>
      <c r="B90">
        <v>405</v>
      </c>
      <c r="C90">
        <v>549</v>
      </c>
      <c r="D90">
        <v>349</v>
      </c>
      <c r="E90" s="1">
        <v>86.172839506172835</v>
      </c>
      <c r="F90">
        <v>36</v>
      </c>
      <c r="G90">
        <v>2</v>
      </c>
      <c r="H90">
        <v>8100</v>
      </c>
      <c r="I90">
        <f t="shared" si="5"/>
        <v>2826900</v>
      </c>
      <c r="J90">
        <f t="shared" si="6"/>
        <v>10418</v>
      </c>
      <c r="K90">
        <f t="shared" si="7"/>
        <v>5782</v>
      </c>
      <c r="L90">
        <f t="shared" si="8"/>
        <v>823022</v>
      </c>
      <c r="M90">
        <f t="shared" si="9"/>
        <v>456778</v>
      </c>
    </row>
    <row r="91" spans="1:13" x14ac:dyDescent="0.3">
      <c r="A91" t="s">
        <v>7</v>
      </c>
      <c r="B91">
        <v>405</v>
      </c>
      <c r="C91">
        <v>549</v>
      </c>
      <c r="D91">
        <v>349</v>
      </c>
      <c r="E91" s="1">
        <v>86.172839506172835</v>
      </c>
      <c r="F91">
        <v>36</v>
      </c>
      <c r="G91">
        <v>2</v>
      </c>
      <c r="H91">
        <v>8100</v>
      </c>
      <c r="I91">
        <f t="shared" si="5"/>
        <v>2826900</v>
      </c>
      <c r="J91">
        <f t="shared" si="6"/>
        <v>10418</v>
      </c>
      <c r="K91">
        <f t="shared" si="7"/>
        <v>5782</v>
      </c>
      <c r="L91">
        <f t="shared" si="8"/>
        <v>823022</v>
      </c>
      <c r="M91">
        <f t="shared" si="9"/>
        <v>456778</v>
      </c>
    </row>
    <row r="92" spans="1:13" x14ac:dyDescent="0.3">
      <c r="A92" t="s">
        <v>7</v>
      </c>
      <c r="B92">
        <v>33</v>
      </c>
      <c r="C92">
        <v>30</v>
      </c>
      <c r="D92">
        <v>29</v>
      </c>
      <c r="E92" s="1">
        <v>87.878787878787875</v>
      </c>
      <c r="F92">
        <v>3</v>
      </c>
      <c r="G92">
        <v>2</v>
      </c>
      <c r="H92">
        <v>1575</v>
      </c>
      <c r="I92">
        <f t="shared" si="5"/>
        <v>45675</v>
      </c>
      <c r="J92">
        <f t="shared" si="6"/>
        <v>3893</v>
      </c>
      <c r="K92">
        <f t="shared" si="7"/>
        <v>0</v>
      </c>
      <c r="L92">
        <f t="shared" si="8"/>
        <v>307547</v>
      </c>
      <c r="M92">
        <f t="shared" si="9"/>
        <v>0</v>
      </c>
    </row>
    <row r="93" spans="1:13" x14ac:dyDescent="0.3">
      <c r="A93" t="s">
        <v>7</v>
      </c>
      <c r="B93">
        <v>33</v>
      </c>
      <c r="C93">
        <v>30</v>
      </c>
      <c r="D93">
        <v>29</v>
      </c>
      <c r="E93" s="1">
        <v>87.878787878787875</v>
      </c>
      <c r="F93">
        <v>3</v>
      </c>
      <c r="G93">
        <v>2</v>
      </c>
      <c r="H93">
        <v>1575</v>
      </c>
      <c r="I93">
        <f t="shared" si="5"/>
        <v>45675</v>
      </c>
      <c r="J93">
        <f t="shared" si="6"/>
        <v>3893</v>
      </c>
      <c r="K93">
        <f t="shared" si="7"/>
        <v>0</v>
      </c>
      <c r="L93">
        <f t="shared" si="8"/>
        <v>307547</v>
      </c>
      <c r="M93">
        <f t="shared" si="9"/>
        <v>0</v>
      </c>
    </row>
    <row r="94" spans="1:13" x14ac:dyDescent="0.3">
      <c r="A94" t="s">
        <v>7</v>
      </c>
      <c r="B94">
        <v>33</v>
      </c>
      <c r="C94">
        <v>30</v>
      </c>
      <c r="D94">
        <v>29</v>
      </c>
      <c r="E94" s="1">
        <v>87.878787878787875</v>
      </c>
      <c r="F94">
        <v>3</v>
      </c>
      <c r="G94">
        <v>2</v>
      </c>
      <c r="H94">
        <v>1575</v>
      </c>
      <c r="I94">
        <f t="shared" si="5"/>
        <v>45675</v>
      </c>
      <c r="J94">
        <f t="shared" si="6"/>
        <v>3893</v>
      </c>
      <c r="K94">
        <f t="shared" si="7"/>
        <v>0</v>
      </c>
      <c r="L94">
        <f t="shared" si="8"/>
        <v>307547</v>
      </c>
      <c r="M94">
        <f t="shared" si="9"/>
        <v>0</v>
      </c>
    </row>
    <row r="95" spans="1:13" x14ac:dyDescent="0.3">
      <c r="A95" t="s">
        <v>7</v>
      </c>
      <c r="B95">
        <v>33</v>
      </c>
      <c r="C95">
        <v>30</v>
      </c>
      <c r="D95">
        <v>29</v>
      </c>
      <c r="E95" s="1">
        <v>87.878787878787875</v>
      </c>
      <c r="F95">
        <v>3</v>
      </c>
      <c r="G95">
        <v>2</v>
      </c>
      <c r="H95">
        <v>1575</v>
      </c>
      <c r="I95">
        <f t="shared" si="5"/>
        <v>45675</v>
      </c>
      <c r="J95">
        <f t="shared" si="6"/>
        <v>3893</v>
      </c>
      <c r="K95">
        <f t="shared" si="7"/>
        <v>0</v>
      </c>
      <c r="L95">
        <f t="shared" si="8"/>
        <v>307547</v>
      </c>
      <c r="M95">
        <f t="shared" si="9"/>
        <v>0</v>
      </c>
    </row>
    <row r="96" spans="1:13" x14ac:dyDescent="0.3">
      <c r="A96" t="s">
        <v>7</v>
      </c>
      <c r="B96">
        <v>400</v>
      </c>
      <c r="C96">
        <v>438</v>
      </c>
      <c r="D96">
        <v>355</v>
      </c>
      <c r="E96" s="1">
        <v>88.75</v>
      </c>
      <c r="F96">
        <v>19</v>
      </c>
      <c r="G96">
        <v>2</v>
      </c>
      <c r="H96">
        <v>3810</v>
      </c>
      <c r="I96">
        <f t="shared" si="5"/>
        <v>1352550</v>
      </c>
      <c r="J96">
        <f t="shared" si="6"/>
        <v>6128</v>
      </c>
      <c r="K96">
        <f t="shared" si="7"/>
        <v>1492</v>
      </c>
      <c r="L96">
        <f t="shared" si="8"/>
        <v>484112</v>
      </c>
      <c r="M96">
        <f t="shared" si="9"/>
        <v>117868</v>
      </c>
    </row>
    <row r="97" spans="1:13" x14ac:dyDescent="0.3">
      <c r="A97" t="s">
        <v>8</v>
      </c>
      <c r="B97">
        <v>200</v>
      </c>
      <c r="C97">
        <v>275</v>
      </c>
      <c r="D97">
        <v>181</v>
      </c>
      <c r="E97" s="1">
        <v>90.5</v>
      </c>
      <c r="F97">
        <v>34</v>
      </c>
      <c r="G97">
        <v>2</v>
      </c>
      <c r="H97">
        <v>1162</v>
      </c>
      <c r="I97">
        <f t="shared" si="5"/>
        <v>210322</v>
      </c>
      <c r="J97">
        <f t="shared" si="6"/>
        <v>3480</v>
      </c>
      <c r="K97">
        <f t="shared" si="7"/>
        <v>0</v>
      </c>
      <c r="L97">
        <f t="shared" si="8"/>
        <v>274920</v>
      </c>
      <c r="M97">
        <f t="shared" si="9"/>
        <v>0</v>
      </c>
    </row>
    <row r="98" spans="1:13" x14ac:dyDescent="0.3">
      <c r="A98" t="s">
        <v>8</v>
      </c>
      <c r="B98">
        <v>250</v>
      </c>
      <c r="C98">
        <v>280</v>
      </c>
      <c r="D98">
        <v>228</v>
      </c>
      <c r="E98" s="1">
        <v>91.2</v>
      </c>
      <c r="F98">
        <v>19</v>
      </c>
      <c r="G98">
        <v>2</v>
      </c>
      <c r="H98">
        <v>1644</v>
      </c>
      <c r="I98">
        <f t="shared" si="5"/>
        <v>374832</v>
      </c>
      <c r="J98">
        <f t="shared" si="6"/>
        <v>3962</v>
      </c>
      <c r="K98">
        <f t="shared" si="7"/>
        <v>0</v>
      </c>
      <c r="L98">
        <f t="shared" si="8"/>
        <v>312998</v>
      </c>
      <c r="M98">
        <f t="shared" si="9"/>
        <v>0</v>
      </c>
    </row>
    <row r="99" spans="1:13" x14ac:dyDescent="0.3">
      <c r="A99" t="s">
        <v>11</v>
      </c>
      <c r="B99">
        <v>850</v>
      </c>
      <c r="C99">
        <v>1315</v>
      </c>
      <c r="D99">
        <v>779</v>
      </c>
      <c r="E99" s="1">
        <v>91.64705882352942</v>
      </c>
      <c r="F99">
        <v>40</v>
      </c>
      <c r="G99">
        <v>0</v>
      </c>
      <c r="H99">
        <v>336</v>
      </c>
      <c r="I99">
        <f t="shared" si="5"/>
        <v>261744</v>
      </c>
      <c r="J99">
        <f t="shared" si="6"/>
        <v>2654</v>
      </c>
      <c r="K99">
        <f t="shared" si="7"/>
        <v>0</v>
      </c>
      <c r="L99">
        <f t="shared" si="8"/>
        <v>209666</v>
      </c>
      <c r="M99">
        <f t="shared" si="9"/>
        <v>0</v>
      </c>
    </row>
    <row r="100" spans="1:13" x14ac:dyDescent="0.3">
      <c r="A100" t="s">
        <v>11</v>
      </c>
      <c r="B100">
        <v>850</v>
      </c>
      <c r="C100">
        <v>1315</v>
      </c>
      <c r="D100">
        <v>779</v>
      </c>
      <c r="E100" s="1">
        <v>91.64705882352942</v>
      </c>
      <c r="F100">
        <v>40</v>
      </c>
      <c r="G100">
        <v>0</v>
      </c>
      <c r="H100">
        <v>336</v>
      </c>
      <c r="I100">
        <f t="shared" si="5"/>
        <v>261744</v>
      </c>
      <c r="J100">
        <f t="shared" si="6"/>
        <v>2654</v>
      </c>
      <c r="K100">
        <f t="shared" si="7"/>
        <v>0</v>
      </c>
      <c r="L100">
        <f t="shared" si="8"/>
        <v>209666</v>
      </c>
      <c r="M100">
        <f t="shared" si="9"/>
        <v>0</v>
      </c>
    </row>
    <row r="101" spans="1:13" x14ac:dyDescent="0.3">
      <c r="A101" t="s">
        <v>11</v>
      </c>
      <c r="B101">
        <v>50</v>
      </c>
      <c r="C101">
        <v>65</v>
      </c>
      <c r="D101">
        <v>46</v>
      </c>
      <c r="E101" s="1">
        <v>92</v>
      </c>
      <c r="F101">
        <v>29</v>
      </c>
      <c r="G101">
        <v>2</v>
      </c>
      <c r="H101">
        <v>5399</v>
      </c>
      <c r="I101">
        <f t="shared" si="5"/>
        <v>248354</v>
      </c>
      <c r="J101">
        <f t="shared" si="6"/>
        <v>7717</v>
      </c>
      <c r="K101">
        <f t="shared" si="7"/>
        <v>3081</v>
      </c>
      <c r="L101">
        <f t="shared" si="8"/>
        <v>609643</v>
      </c>
      <c r="M101">
        <f t="shared" si="9"/>
        <v>243399</v>
      </c>
    </row>
    <row r="102" spans="1:13" x14ac:dyDescent="0.3">
      <c r="A102" t="s">
        <v>10</v>
      </c>
      <c r="B102">
        <v>50</v>
      </c>
      <c r="C102">
        <v>65</v>
      </c>
      <c r="D102">
        <v>46</v>
      </c>
      <c r="E102" s="1">
        <v>92</v>
      </c>
      <c r="F102">
        <v>29</v>
      </c>
      <c r="G102">
        <v>2</v>
      </c>
      <c r="H102">
        <v>5399</v>
      </c>
      <c r="I102">
        <f t="shared" si="5"/>
        <v>248354</v>
      </c>
      <c r="J102">
        <f t="shared" si="6"/>
        <v>7717</v>
      </c>
      <c r="K102">
        <f t="shared" si="7"/>
        <v>3081</v>
      </c>
      <c r="L102">
        <f t="shared" si="8"/>
        <v>609643</v>
      </c>
      <c r="M102">
        <f t="shared" si="9"/>
        <v>243399</v>
      </c>
    </row>
    <row r="103" spans="1:13" x14ac:dyDescent="0.3">
      <c r="A103" t="s">
        <v>11</v>
      </c>
      <c r="B103">
        <v>50</v>
      </c>
      <c r="C103">
        <v>65</v>
      </c>
      <c r="D103">
        <v>46</v>
      </c>
      <c r="E103" s="1">
        <v>92</v>
      </c>
      <c r="F103">
        <v>29</v>
      </c>
      <c r="G103">
        <v>2</v>
      </c>
      <c r="H103">
        <v>5399</v>
      </c>
      <c r="I103">
        <f t="shared" si="5"/>
        <v>248354</v>
      </c>
      <c r="J103">
        <f t="shared" si="6"/>
        <v>7717</v>
      </c>
      <c r="K103">
        <f t="shared" si="7"/>
        <v>3081</v>
      </c>
      <c r="L103">
        <f t="shared" si="8"/>
        <v>609643</v>
      </c>
      <c r="M103">
        <f t="shared" si="9"/>
        <v>243399</v>
      </c>
    </row>
    <row r="104" spans="1:13" x14ac:dyDescent="0.3">
      <c r="A104" t="s">
        <v>10</v>
      </c>
      <c r="B104">
        <v>50</v>
      </c>
      <c r="C104">
        <v>65</v>
      </c>
      <c r="D104">
        <v>46</v>
      </c>
      <c r="E104" s="1">
        <v>92</v>
      </c>
      <c r="F104">
        <v>29</v>
      </c>
      <c r="G104">
        <v>2</v>
      </c>
      <c r="H104">
        <v>5399</v>
      </c>
      <c r="I104">
        <f t="shared" si="5"/>
        <v>248354</v>
      </c>
      <c r="J104">
        <f t="shared" si="6"/>
        <v>7717</v>
      </c>
      <c r="K104">
        <f t="shared" si="7"/>
        <v>3081</v>
      </c>
      <c r="L104">
        <f t="shared" si="8"/>
        <v>609643</v>
      </c>
      <c r="M104">
        <f t="shared" si="9"/>
        <v>243399</v>
      </c>
    </row>
    <row r="105" spans="1:13" x14ac:dyDescent="0.3">
      <c r="A105" t="s">
        <v>8</v>
      </c>
      <c r="B105">
        <v>900</v>
      </c>
      <c r="C105">
        <v>1310</v>
      </c>
      <c r="D105">
        <v>845</v>
      </c>
      <c r="E105" s="1">
        <v>93.888888888888886</v>
      </c>
      <c r="F105">
        <v>35</v>
      </c>
      <c r="G105">
        <v>0</v>
      </c>
      <c r="H105">
        <v>4227</v>
      </c>
      <c r="I105">
        <f t="shared" si="5"/>
        <v>3571815</v>
      </c>
      <c r="J105">
        <f t="shared" si="6"/>
        <v>6545</v>
      </c>
      <c r="K105">
        <f t="shared" si="7"/>
        <v>1909</v>
      </c>
      <c r="L105">
        <f t="shared" si="8"/>
        <v>517055</v>
      </c>
      <c r="M105">
        <f t="shared" si="9"/>
        <v>150811</v>
      </c>
    </row>
    <row r="106" spans="1:13" x14ac:dyDescent="0.3">
      <c r="A106" t="s">
        <v>7</v>
      </c>
      <c r="B106">
        <v>200</v>
      </c>
      <c r="C106">
        <v>219</v>
      </c>
      <c r="D106">
        <v>189</v>
      </c>
      <c r="E106" s="1">
        <v>94.5</v>
      </c>
      <c r="F106">
        <v>14</v>
      </c>
      <c r="G106">
        <v>2</v>
      </c>
      <c r="H106">
        <v>723</v>
      </c>
      <c r="I106">
        <f t="shared" si="5"/>
        <v>136647</v>
      </c>
      <c r="J106">
        <f t="shared" si="6"/>
        <v>3041</v>
      </c>
      <c r="K106">
        <f t="shared" si="7"/>
        <v>0</v>
      </c>
      <c r="L106">
        <f t="shared" si="8"/>
        <v>240239</v>
      </c>
      <c r="M106">
        <f t="shared" si="9"/>
        <v>0</v>
      </c>
    </row>
    <row r="107" spans="1:13" x14ac:dyDescent="0.3">
      <c r="A107" t="s">
        <v>7</v>
      </c>
      <c r="B107">
        <v>200</v>
      </c>
      <c r="C107">
        <v>349</v>
      </c>
      <c r="D107">
        <v>189</v>
      </c>
      <c r="E107" s="1">
        <v>94.5</v>
      </c>
      <c r="F107">
        <v>46</v>
      </c>
      <c r="G107">
        <v>2</v>
      </c>
      <c r="H107">
        <v>2773</v>
      </c>
      <c r="I107">
        <f t="shared" si="5"/>
        <v>524097</v>
      </c>
      <c r="J107">
        <f t="shared" si="6"/>
        <v>5091</v>
      </c>
      <c r="K107">
        <f t="shared" si="7"/>
        <v>455</v>
      </c>
      <c r="L107">
        <f t="shared" si="8"/>
        <v>402189</v>
      </c>
      <c r="M107">
        <f t="shared" si="9"/>
        <v>35945</v>
      </c>
    </row>
    <row r="108" spans="1:13" x14ac:dyDescent="0.3">
      <c r="A108" t="s">
        <v>7</v>
      </c>
      <c r="B108">
        <v>200</v>
      </c>
      <c r="C108">
        <v>349</v>
      </c>
      <c r="D108">
        <v>189</v>
      </c>
      <c r="E108" s="1">
        <v>94.5</v>
      </c>
      <c r="F108">
        <v>46</v>
      </c>
      <c r="G108">
        <v>2</v>
      </c>
      <c r="H108">
        <v>2773</v>
      </c>
      <c r="I108">
        <f t="shared" si="5"/>
        <v>524097</v>
      </c>
      <c r="J108">
        <f t="shared" si="6"/>
        <v>5091</v>
      </c>
      <c r="K108">
        <f t="shared" si="7"/>
        <v>455</v>
      </c>
      <c r="L108">
        <f t="shared" si="8"/>
        <v>402189</v>
      </c>
      <c r="M108">
        <f t="shared" si="9"/>
        <v>35945</v>
      </c>
    </row>
    <row r="109" spans="1:13" x14ac:dyDescent="0.3">
      <c r="A109" t="s">
        <v>7</v>
      </c>
      <c r="B109">
        <v>70</v>
      </c>
      <c r="C109">
        <v>79</v>
      </c>
      <c r="D109">
        <v>67</v>
      </c>
      <c r="E109" s="1">
        <v>95.714285714285722</v>
      </c>
      <c r="F109">
        <v>15</v>
      </c>
      <c r="G109">
        <v>2</v>
      </c>
      <c r="H109">
        <v>735</v>
      </c>
      <c r="I109">
        <f t="shared" si="5"/>
        <v>49245</v>
      </c>
      <c r="J109">
        <f t="shared" si="6"/>
        <v>3053</v>
      </c>
      <c r="K109">
        <f t="shared" si="7"/>
        <v>0</v>
      </c>
      <c r="L109">
        <f t="shared" si="8"/>
        <v>241187</v>
      </c>
      <c r="M109">
        <f t="shared" si="9"/>
        <v>0</v>
      </c>
    </row>
    <row r="110" spans="1:13" x14ac:dyDescent="0.3">
      <c r="A110" t="s">
        <v>7</v>
      </c>
      <c r="B110">
        <v>70</v>
      </c>
      <c r="C110">
        <v>79</v>
      </c>
      <c r="D110">
        <v>67</v>
      </c>
      <c r="E110" s="1">
        <v>95.714285714285722</v>
      </c>
      <c r="F110">
        <v>15</v>
      </c>
      <c r="G110">
        <v>2</v>
      </c>
      <c r="H110">
        <v>735</v>
      </c>
      <c r="I110">
        <f t="shared" si="5"/>
        <v>49245</v>
      </c>
      <c r="J110">
        <f t="shared" si="6"/>
        <v>3053</v>
      </c>
      <c r="K110">
        <f t="shared" si="7"/>
        <v>0</v>
      </c>
      <c r="L110">
        <f t="shared" si="8"/>
        <v>241187</v>
      </c>
      <c r="M110">
        <f t="shared" si="9"/>
        <v>0</v>
      </c>
    </row>
    <row r="111" spans="1:13" x14ac:dyDescent="0.3">
      <c r="A111" t="s">
        <v>7</v>
      </c>
      <c r="B111">
        <v>70</v>
      </c>
      <c r="C111">
        <v>79</v>
      </c>
      <c r="D111">
        <v>67</v>
      </c>
      <c r="E111" s="1">
        <v>95.714285714285722</v>
      </c>
      <c r="F111">
        <v>15</v>
      </c>
      <c r="G111">
        <v>2</v>
      </c>
      <c r="H111">
        <v>735</v>
      </c>
      <c r="I111">
        <f t="shared" si="5"/>
        <v>49245</v>
      </c>
      <c r="J111">
        <f t="shared" si="6"/>
        <v>3053</v>
      </c>
      <c r="K111">
        <f t="shared" si="7"/>
        <v>0</v>
      </c>
      <c r="L111">
        <f t="shared" si="8"/>
        <v>241187</v>
      </c>
      <c r="M111">
        <f t="shared" si="9"/>
        <v>0</v>
      </c>
    </row>
    <row r="112" spans="1:13" x14ac:dyDescent="0.3">
      <c r="A112" t="s">
        <v>7</v>
      </c>
      <c r="B112">
        <v>70</v>
      </c>
      <c r="C112">
        <v>79</v>
      </c>
      <c r="D112">
        <v>67</v>
      </c>
      <c r="E112" s="1">
        <v>95.714285714285722</v>
      </c>
      <c r="F112">
        <v>15</v>
      </c>
      <c r="G112">
        <v>2</v>
      </c>
      <c r="H112">
        <v>735</v>
      </c>
      <c r="I112">
        <f t="shared" si="5"/>
        <v>49245</v>
      </c>
      <c r="J112">
        <f t="shared" si="6"/>
        <v>3053</v>
      </c>
      <c r="K112">
        <f t="shared" si="7"/>
        <v>0</v>
      </c>
      <c r="L112">
        <f t="shared" si="8"/>
        <v>241187</v>
      </c>
      <c r="M112">
        <f t="shared" si="9"/>
        <v>0</v>
      </c>
    </row>
    <row r="113" spans="1:13" x14ac:dyDescent="0.3">
      <c r="A113" t="s">
        <v>8</v>
      </c>
      <c r="B113">
        <v>250</v>
      </c>
      <c r="C113">
        <v>299</v>
      </c>
      <c r="D113">
        <v>244</v>
      </c>
      <c r="E113" s="1">
        <v>97.6</v>
      </c>
      <c r="F113">
        <v>18</v>
      </c>
      <c r="G113">
        <v>2</v>
      </c>
      <c r="H113">
        <v>1980</v>
      </c>
      <c r="I113">
        <f t="shared" si="5"/>
        <v>483120</v>
      </c>
      <c r="J113">
        <f t="shared" si="6"/>
        <v>4298</v>
      </c>
      <c r="K113">
        <f t="shared" si="7"/>
        <v>0</v>
      </c>
      <c r="L113">
        <f t="shared" si="8"/>
        <v>339542</v>
      </c>
      <c r="M113">
        <f t="shared" si="9"/>
        <v>0</v>
      </c>
    </row>
    <row r="114" spans="1:13" x14ac:dyDescent="0.3">
      <c r="A114" t="s">
        <v>7</v>
      </c>
      <c r="B114">
        <v>500</v>
      </c>
      <c r="C114">
        <v>999</v>
      </c>
      <c r="D114">
        <v>489</v>
      </c>
      <c r="E114" s="1">
        <v>97.8</v>
      </c>
      <c r="F114">
        <v>51</v>
      </c>
      <c r="G114">
        <v>0</v>
      </c>
      <c r="H114">
        <v>972</v>
      </c>
      <c r="I114">
        <f t="shared" si="5"/>
        <v>475308</v>
      </c>
      <c r="J114">
        <f t="shared" si="6"/>
        <v>3290</v>
      </c>
      <c r="K114">
        <f t="shared" si="7"/>
        <v>0</v>
      </c>
      <c r="L114">
        <f t="shared" si="8"/>
        <v>259910</v>
      </c>
      <c r="M114">
        <f t="shared" si="9"/>
        <v>0</v>
      </c>
    </row>
    <row r="115" spans="1:13" x14ac:dyDescent="0.3">
      <c r="A115" t="s">
        <v>7</v>
      </c>
      <c r="B115">
        <v>500</v>
      </c>
      <c r="C115">
        <v>899</v>
      </c>
      <c r="D115">
        <v>489</v>
      </c>
      <c r="E115" s="1">
        <v>97.8</v>
      </c>
      <c r="F115">
        <v>46</v>
      </c>
      <c r="G115">
        <v>0</v>
      </c>
      <c r="H115">
        <v>925</v>
      </c>
      <c r="I115">
        <f t="shared" si="5"/>
        <v>452325</v>
      </c>
      <c r="J115">
        <f t="shared" si="6"/>
        <v>3243</v>
      </c>
      <c r="K115">
        <f t="shared" si="7"/>
        <v>0</v>
      </c>
      <c r="L115">
        <f t="shared" si="8"/>
        <v>256197</v>
      </c>
      <c r="M115">
        <f t="shared" si="9"/>
        <v>0</v>
      </c>
    </row>
    <row r="116" spans="1:13" x14ac:dyDescent="0.3">
      <c r="A116" t="s">
        <v>7</v>
      </c>
      <c r="B116">
        <v>500</v>
      </c>
      <c r="C116">
        <v>899</v>
      </c>
      <c r="D116">
        <v>489</v>
      </c>
      <c r="E116" s="1">
        <v>97.8</v>
      </c>
      <c r="F116">
        <v>46</v>
      </c>
      <c r="G116">
        <v>0</v>
      </c>
      <c r="H116">
        <v>925</v>
      </c>
      <c r="I116">
        <f t="shared" si="5"/>
        <v>452325</v>
      </c>
      <c r="J116">
        <f t="shared" si="6"/>
        <v>3243</v>
      </c>
      <c r="K116">
        <f t="shared" si="7"/>
        <v>0</v>
      </c>
      <c r="L116">
        <f t="shared" si="8"/>
        <v>256197</v>
      </c>
      <c r="M116">
        <f t="shared" si="9"/>
        <v>0</v>
      </c>
    </row>
    <row r="117" spans="1:13" x14ac:dyDescent="0.3">
      <c r="A117" t="s">
        <v>7</v>
      </c>
      <c r="B117">
        <v>100</v>
      </c>
      <c r="C117">
        <v>199</v>
      </c>
      <c r="D117">
        <v>99</v>
      </c>
      <c r="E117" s="1">
        <v>99</v>
      </c>
      <c r="F117">
        <v>50</v>
      </c>
      <c r="G117">
        <v>2</v>
      </c>
      <c r="H117">
        <v>3870</v>
      </c>
      <c r="I117">
        <f t="shared" si="5"/>
        <v>383130</v>
      </c>
      <c r="J117">
        <f t="shared" si="6"/>
        <v>6188</v>
      </c>
      <c r="K117">
        <f t="shared" si="7"/>
        <v>1552</v>
      </c>
      <c r="L117">
        <f t="shared" si="8"/>
        <v>488852</v>
      </c>
      <c r="M117">
        <f t="shared" si="9"/>
        <v>122608</v>
      </c>
    </row>
    <row r="118" spans="1:13" x14ac:dyDescent="0.3">
      <c r="A118" t="s">
        <v>8</v>
      </c>
      <c r="B118">
        <v>900</v>
      </c>
      <c r="C118">
        <v>1545</v>
      </c>
      <c r="D118">
        <v>892</v>
      </c>
      <c r="E118" s="1">
        <v>99.111111111111114</v>
      </c>
      <c r="F118">
        <v>42</v>
      </c>
      <c r="G118">
        <v>0</v>
      </c>
      <c r="H118">
        <v>379</v>
      </c>
      <c r="I118">
        <f t="shared" si="5"/>
        <v>338068</v>
      </c>
      <c r="J118">
        <f t="shared" si="6"/>
        <v>2697</v>
      </c>
      <c r="K118">
        <f t="shared" si="7"/>
        <v>0</v>
      </c>
      <c r="L118">
        <f t="shared" si="8"/>
        <v>213063</v>
      </c>
      <c r="M118">
        <f t="shared" si="9"/>
        <v>0</v>
      </c>
    </row>
    <row r="119" spans="1:13" x14ac:dyDescent="0.3">
      <c r="A119" t="s">
        <v>9</v>
      </c>
      <c r="B119">
        <v>200</v>
      </c>
      <c r="C119">
        <v>328</v>
      </c>
      <c r="D119">
        <v>199</v>
      </c>
      <c r="E119" s="1">
        <v>99.5</v>
      </c>
      <c r="F119">
        <v>39</v>
      </c>
      <c r="G119">
        <v>2</v>
      </c>
      <c r="H119">
        <v>3238</v>
      </c>
      <c r="I119">
        <f t="shared" si="5"/>
        <v>644362</v>
      </c>
      <c r="J119">
        <f t="shared" si="6"/>
        <v>5556</v>
      </c>
      <c r="K119">
        <f t="shared" si="7"/>
        <v>920</v>
      </c>
      <c r="L119">
        <f t="shared" si="8"/>
        <v>438924</v>
      </c>
      <c r="M119">
        <f t="shared" si="9"/>
        <v>72680</v>
      </c>
    </row>
    <row r="120" spans="1:13" x14ac:dyDescent="0.3">
      <c r="A120" t="s">
        <v>7</v>
      </c>
      <c r="B120">
        <v>200</v>
      </c>
      <c r="C120">
        <v>335</v>
      </c>
      <c r="D120">
        <v>199</v>
      </c>
      <c r="E120" s="1">
        <v>99.5</v>
      </c>
      <c r="F120">
        <v>41</v>
      </c>
      <c r="G120">
        <v>2</v>
      </c>
      <c r="H120">
        <v>3281</v>
      </c>
      <c r="I120">
        <f t="shared" si="5"/>
        <v>652919</v>
      </c>
      <c r="J120">
        <f t="shared" si="6"/>
        <v>5599</v>
      </c>
      <c r="K120">
        <f t="shared" si="7"/>
        <v>963</v>
      </c>
      <c r="L120">
        <f t="shared" si="8"/>
        <v>442321</v>
      </c>
      <c r="M120">
        <f t="shared" si="9"/>
        <v>76077</v>
      </c>
    </row>
    <row r="121" spans="1:13" x14ac:dyDescent="0.3">
      <c r="A121" t="s">
        <v>7</v>
      </c>
      <c r="B121">
        <v>200</v>
      </c>
      <c r="C121">
        <v>335</v>
      </c>
      <c r="D121">
        <v>199</v>
      </c>
      <c r="E121" s="1">
        <v>99.5</v>
      </c>
      <c r="F121">
        <v>41</v>
      </c>
      <c r="G121">
        <v>2</v>
      </c>
      <c r="H121">
        <v>3281</v>
      </c>
      <c r="I121">
        <f t="shared" si="5"/>
        <v>652919</v>
      </c>
      <c r="J121">
        <f t="shared" si="6"/>
        <v>5599</v>
      </c>
      <c r="K121">
        <f t="shared" si="7"/>
        <v>963</v>
      </c>
      <c r="L121">
        <f t="shared" si="8"/>
        <v>442321</v>
      </c>
      <c r="M121">
        <f t="shared" si="9"/>
        <v>76077</v>
      </c>
    </row>
    <row r="122" spans="1:13" x14ac:dyDescent="0.3">
      <c r="A122" t="s">
        <v>7</v>
      </c>
      <c r="B122">
        <v>500</v>
      </c>
      <c r="C122">
        <v>999</v>
      </c>
      <c r="D122">
        <v>499</v>
      </c>
      <c r="E122" s="1">
        <v>99.8</v>
      </c>
      <c r="F122">
        <v>50</v>
      </c>
      <c r="G122">
        <v>0</v>
      </c>
      <c r="H122">
        <v>949</v>
      </c>
      <c r="I122">
        <f t="shared" si="5"/>
        <v>473551</v>
      </c>
      <c r="J122">
        <f t="shared" si="6"/>
        <v>3267</v>
      </c>
      <c r="K122">
        <f t="shared" si="7"/>
        <v>0</v>
      </c>
      <c r="L122">
        <f t="shared" si="8"/>
        <v>258093</v>
      </c>
      <c r="M122">
        <f t="shared" si="9"/>
        <v>0</v>
      </c>
    </row>
    <row r="123" spans="1:13" x14ac:dyDescent="0.3">
      <c r="A123" t="s">
        <v>9</v>
      </c>
      <c r="B123">
        <v>30</v>
      </c>
      <c r="C123">
        <v>33</v>
      </c>
      <c r="D123">
        <v>30</v>
      </c>
      <c r="E123" s="1">
        <v>100</v>
      </c>
      <c r="F123">
        <v>9</v>
      </c>
      <c r="G123">
        <v>2</v>
      </c>
      <c r="H123">
        <v>259</v>
      </c>
      <c r="I123">
        <f t="shared" si="5"/>
        <v>7770</v>
      </c>
      <c r="J123">
        <f t="shared" si="6"/>
        <v>2577</v>
      </c>
      <c r="K123">
        <f t="shared" si="7"/>
        <v>0</v>
      </c>
      <c r="L123">
        <f t="shared" si="8"/>
        <v>203583</v>
      </c>
      <c r="M123">
        <f t="shared" si="9"/>
        <v>0</v>
      </c>
    </row>
    <row r="124" spans="1:13" x14ac:dyDescent="0.3">
      <c r="A124" t="s">
        <v>9</v>
      </c>
      <c r="B124">
        <v>30</v>
      </c>
      <c r="C124">
        <v>33</v>
      </c>
      <c r="D124">
        <v>30</v>
      </c>
      <c r="E124" s="1">
        <v>100</v>
      </c>
      <c r="F124">
        <v>9</v>
      </c>
      <c r="G124">
        <v>2</v>
      </c>
      <c r="H124">
        <v>259</v>
      </c>
      <c r="I124">
        <f t="shared" si="5"/>
        <v>7770</v>
      </c>
      <c r="J124">
        <f t="shared" si="6"/>
        <v>2577</v>
      </c>
      <c r="K124">
        <f t="shared" si="7"/>
        <v>0</v>
      </c>
      <c r="L124">
        <f t="shared" si="8"/>
        <v>203583</v>
      </c>
      <c r="M124">
        <f t="shared" si="9"/>
        <v>0</v>
      </c>
    </row>
    <row r="125" spans="1:13" x14ac:dyDescent="0.3">
      <c r="A125" t="s">
        <v>8</v>
      </c>
      <c r="B125">
        <v>800</v>
      </c>
      <c r="C125">
        <v>1890</v>
      </c>
      <c r="D125">
        <v>802</v>
      </c>
      <c r="E125" s="1">
        <v>100.25</v>
      </c>
      <c r="F125">
        <v>58</v>
      </c>
      <c r="G125">
        <v>0</v>
      </c>
      <c r="H125">
        <v>21687</v>
      </c>
      <c r="I125">
        <f t="shared" si="5"/>
        <v>17392974</v>
      </c>
      <c r="J125">
        <f t="shared" si="6"/>
        <v>24005</v>
      </c>
      <c r="K125">
        <f t="shared" si="7"/>
        <v>19369</v>
      </c>
      <c r="L125">
        <f t="shared" si="8"/>
        <v>1896395</v>
      </c>
      <c r="M125">
        <f t="shared" si="9"/>
        <v>1530151</v>
      </c>
    </row>
    <row r="126" spans="1:13" x14ac:dyDescent="0.3">
      <c r="A126" t="s">
        <v>8</v>
      </c>
      <c r="B126">
        <v>200</v>
      </c>
      <c r="C126">
        <v>295</v>
      </c>
      <c r="D126">
        <v>201</v>
      </c>
      <c r="E126" s="1">
        <v>100.5</v>
      </c>
      <c r="F126">
        <v>32</v>
      </c>
      <c r="G126">
        <v>2</v>
      </c>
      <c r="H126">
        <v>1162</v>
      </c>
      <c r="I126">
        <f t="shared" si="5"/>
        <v>233562</v>
      </c>
      <c r="J126">
        <f t="shared" si="6"/>
        <v>3480</v>
      </c>
      <c r="K126">
        <f t="shared" si="7"/>
        <v>0</v>
      </c>
      <c r="L126">
        <f t="shared" si="8"/>
        <v>274920</v>
      </c>
      <c r="M126">
        <f t="shared" si="9"/>
        <v>0</v>
      </c>
    </row>
    <row r="127" spans="1:13" x14ac:dyDescent="0.3">
      <c r="A127" t="s">
        <v>8</v>
      </c>
      <c r="B127">
        <v>350</v>
      </c>
      <c r="C127">
        <v>515</v>
      </c>
      <c r="D127">
        <v>355</v>
      </c>
      <c r="E127" s="1">
        <v>101.4285714285714</v>
      </c>
      <c r="F127">
        <v>31</v>
      </c>
      <c r="G127">
        <v>2</v>
      </c>
      <c r="H127">
        <v>3349</v>
      </c>
      <c r="I127">
        <f t="shared" si="5"/>
        <v>1188895</v>
      </c>
      <c r="J127">
        <f t="shared" si="6"/>
        <v>5667</v>
      </c>
      <c r="K127">
        <f t="shared" si="7"/>
        <v>1031</v>
      </c>
      <c r="L127">
        <f t="shared" si="8"/>
        <v>447693</v>
      </c>
      <c r="M127">
        <f t="shared" si="9"/>
        <v>81449</v>
      </c>
    </row>
    <row r="128" spans="1:13" x14ac:dyDescent="0.3">
      <c r="A128" t="s">
        <v>8</v>
      </c>
      <c r="B128">
        <v>350</v>
      </c>
      <c r="C128">
        <v>515</v>
      </c>
      <c r="D128">
        <v>356</v>
      </c>
      <c r="E128" s="1">
        <v>101.71428571428569</v>
      </c>
      <c r="F128">
        <v>31</v>
      </c>
      <c r="G128">
        <v>2</v>
      </c>
      <c r="H128">
        <v>3349</v>
      </c>
      <c r="I128">
        <f t="shared" si="5"/>
        <v>1192244</v>
      </c>
      <c r="J128">
        <f t="shared" si="6"/>
        <v>5667</v>
      </c>
      <c r="K128">
        <f t="shared" si="7"/>
        <v>1031</v>
      </c>
      <c r="L128">
        <f t="shared" si="8"/>
        <v>447693</v>
      </c>
      <c r="M128">
        <f t="shared" si="9"/>
        <v>81449</v>
      </c>
    </row>
    <row r="129" spans="1:13" x14ac:dyDescent="0.3">
      <c r="A129" t="s">
        <v>8</v>
      </c>
      <c r="B129">
        <v>900</v>
      </c>
      <c r="C129">
        <v>1650</v>
      </c>
      <c r="D129">
        <v>921</v>
      </c>
      <c r="E129" s="1">
        <v>102.3333333333333</v>
      </c>
      <c r="F129">
        <v>44</v>
      </c>
      <c r="G129">
        <v>0</v>
      </c>
      <c r="H129">
        <v>335</v>
      </c>
      <c r="I129">
        <f t="shared" si="5"/>
        <v>308535</v>
      </c>
      <c r="J129">
        <f t="shared" si="6"/>
        <v>2653</v>
      </c>
      <c r="K129">
        <f t="shared" si="7"/>
        <v>0</v>
      </c>
      <c r="L129">
        <f t="shared" si="8"/>
        <v>209587</v>
      </c>
      <c r="M129">
        <f t="shared" si="9"/>
        <v>0</v>
      </c>
    </row>
    <row r="130" spans="1:13" x14ac:dyDescent="0.3">
      <c r="A130" t="s">
        <v>7</v>
      </c>
      <c r="B130">
        <v>905</v>
      </c>
      <c r="C130">
        <v>1249</v>
      </c>
      <c r="D130">
        <v>929</v>
      </c>
      <c r="E130" s="1">
        <v>102.6519337016575</v>
      </c>
      <c r="F130">
        <v>26</v>
      </c>
      <c r="G130">
        <v>0</v>
      </c>
      <c r="H130">
        <v>0</v>
      </c>
      <c r="I130">
        <f t="shared" si="5"/>
        <v>0</v>
      </c>
      <c r="J130">
        <f t="shared" si="6"/>
        <v>2318</v>
      </c>
      <c r="K130">
        <f t="shared" si="7"/>
        <v>0</v>
      </c>
      <c r="L130">
        <f t="shared" si="8"/>
        <v>183122</v>
      </c>
      <c r="M130">
        <f t="shared" si="9"/>
        <v>0</v>
      </c>
    </row>
    <row r="131" spans="1:13" x14ac:dyDescent="0.3">
      <c r="A131" t="s">
        <v>8</v>
      </c>
      <c r="B131">
        <v>900</v>
      </c>
      <c r="C131">
        <v>1400</v>
      </c>
      <c r="D131">
        <v>925</v>
      </c>
      <c r="E131" s="1">
        <v>102.7777777777778</v>
      </c>
      <c r="F131">
        <v>34</v>
      </c>
      <c r="G131">
        <v>0</v>
      </c>
      <c r="H131">
        <v>4227</v>
      </c>
      <c r="I131">
        <f t="shared" ref="I131:I194" si="10">D131*H131</f>
        <v>3909975</v>
      </c>
      <c r="J131">
        <f t="shared" ref="J131:J194" si="11">H131+2318</f>
        <v>6545</v>
      </c>
      <c r="K131">
        <f t="shared" ref="K131:K194" si="12">IF(H131-2318&lt;=0,0,H131-2318)</f>
        <v>1909</v>
      </c>
      <c r="L131">
        <f t="shared" ref="L131:L194" si="13">J131*$D$2</f>
        <v>517055</v>
      </c>
      <c r="M131">
        <f t="shared" ref="M131:M194" si="14">K131*$D$2</f>
        <v>150811</v>
      </c>
    </row>
    <row r="132" spans="1:13" x14ac:dyDescent="0.3">
      <c r="A132" t="s">
        <v>7</v>
      </c>
      <c r="B132">
        <v>405</v>
      </c>
      <c r="C132">
        <v>499</v>
      </c>
      <c r="D132">
        <v>419</v>
      </c>
      <c r="E132" s="1">
        <v>103.4567901234568</v>
      </c>
      <c r="F132">
        <v>16</v>
      </c>
      <c r="G132">
        <v>0</v>
      </c>
      <c r="H132">
        <v>1858</v>
      </c>
      <c r="I132">
        <f t="shared" si="10"/>
        <v>778502</v>
      </c>
      <c r="J132">
        <f t="shared" si="11"/>
        <v>4176</v>
      </c>
      <c r="K132">
        <f t="shared" si="12"/>
        <v>0</v>
      </c>
      <c r="L132">
        <f t="shared" si="13"/>
        <v>329904</v>
      </c>
      <c r="M132">
        <f t="shared" si="14"/>
        <v>0</v>
      </c>
    </row>
    <row r="133" spans="1:13" x14ac:dyDescent="0.3">
      <c r="A133" t="s">
        <v>8</v>
      </c>
      <c r="B133">
        <v>900</v>
      </c>
      <c r="C133">
        <v>1650</v>
      </c>
      <c r="D133">
        <v>935</v>
      </c>
      <c r="E133" s="1">
        <v>103.8888888888889</v>
      </c>
      <c r="F133">
        <v>43</v>
      </c>
      <c r="G133">
        <v>0</v>
      </c>
      <c r="H133">
        <v>335</v>
      </c>
      <c r="I133">
        <f t="shared" si="10"/>
        <v>313225</v>
      </c>
      <c r="J133">
        <f t="shared" si="11"/>
        <v>2653</v>
      </c>
      <c r="K133">
        <f t="shared" si="12"/>
        <v>0</v>
      </c>
      <c r="L133">
        <f t="shared" si="13"/>
        <v>209587</v>
      </c>
      <c r="M133">
        <f t="shared" si="14"/>
        <v>0</v>
      </c>
    </row>
    <row r="134" spans="1:13" x14ac:dyDescent="0.3">
      <c r="A134" t="s">
        <v>11</v>
      </c>
      <c r="B134">
        <v>25</v>
      </c>
      <c r="C134">
        <v>35</v>
      </c>
      <c r="D134">
        <v>26</v>
      </c>
      <c r="E134" s="1">
        <v>104</v>
      </c>
      <c r="F134">
        <v>26</v>
      </c>
      <c r="G134">
        <v>2</v>
      </c>
      <c r="H134">
        <v>14145</v>
      </c>
      <c r="I134">
        <f t="shared" si="10"/>
        <v>367770</v>
      </c>
      <c r="J134">
        <f t="shared" si="11"/>
        <v>16463</v>
      </c>
      <c r="K134">
        <f t="shared" si="12"/>
        <v>11827</v>
      </c>
      <c r="L134">
        <f t="shared" si="13"/>
        <v>1300577</v>
      </c>
      <c r="M134">
        <f t="shared" si="14"/>
        <v>934333</v>
      </c>
    </row>
    <row r="135" spans="1:13" x14ac:dyDescent="0.3">
      <c r="A135" t="s">
        <v>9</v>
      </c>
      <c r="B135">
        <v>100</v>
      </c>
      <c r="C135">
        <v>141</v>
      </c>
      <c r="D135">
        <v>104</v>
      </c>
      <c r="E135" s="1">
        <v>104</v>
      </c>
      <c r="F135">
        <v>26</v>
      </c>
      <c r="G135">
        <v>2</v>
      </c>
      <c r="H135">
        <v>732</v>
      </c>
      <c r="I135">
        <f t="shared" si="10"/>
        <v>76128</v>
      </c>
      <c r="J135">
        <f t="shared" si="11"/>
        <v>3050</v>
      </c>
      <c r="K135">
        <f t="shared" si="12"/>
        <v>0</v>
      </c>
      <c r="L135">
        <f t="shared" si="13"/>
        <v>240950</v>
      </c>
      <c r="M135">
        <f t="shared" si="14"/>
        <v>0</v>
      </c>
    </row>
    <row r="136" spans="1:13" x14ac:dyDescent="0.3">
      <c r="A136" t="s">
        <v>11</v>
      </c>
      <c r="B136">
        <v>25</v>
      </c>
      <c r="C136">
        <v>35</v>
      </c>
      <c r="D136">
        <v>26</v>
      </c>
      <c r="E136" s="1">
        <v>104</v>
      </c>
      <c r="F136">
        <v>26</v>
      </c>
      <c r="G136">
        <v>2</v>
      </c>
      <c r="H136">
        <v>14145</v>
      </c>
      <c r="I136">
        <f t="shared" si="10"/>
        <v>367770</v>
      </c>
      <c r="J136">
        <f t="shared" si="11"/>
        <v>16463</v>
      </c>
      <c r="K136">
        <f t="shared" si="12"/>
        <v>11827</v>
      </c>
      <c r="L136">
        <f t="shared" si="13"/>
        <v>1300577</v>
      </c>
      <c r="M136">
        <f t="shared" si="14"/>
        <v>934333</v>
      </c>
    </row>
    <row r="137" spans="1:13" x14ac:dyDescent="0.3">
      <c r="A137" t="s">
        <v>9</v>
      </c>
      <c r="B137">
        <v>100</v>
      </c>
      <c r="C137">
        <v>141</v>
      </c>
      <c r="D137">
        <v>104</v>
      </c>
      <c r="E137" s="1">
        <v>104</v>
      </c>
      <c r="F137">
        <v>26</v>
      </c>
      <c r="G137">
        <v>2</v>
      </c>
      <c r="H137">
        <v>732</v>
      </c>
      <c r="I137">
        <f t="shared" si="10"/>
        <v>76128</v>
      </c>
      <c r="J137">
        <f t="shared" si="11"/>
        <v>3050</v>
      </c>
      <c r="K137">
        <f t="shared" si="12"/>
        <v>0</v>
      </c>
      <c r="L137">
        <f t="shared" si="13"/>
        <v>240950</v>
      </c>
      <c r="M137">
        <f t="shared" si="14"/>
        <v>0</v>
      </c>
    </row>
    <row r="138" spans="1:13" x14ac:dyDescent="0.3">
      <c r="A138" t="s">
        <v>8</v>
      </c>
      <c r="B138">
        <v>70</v>
      </c>
      <c r="C138">
        <v>99</v>
      </c>
      <c r="D138">
        <v>74</v>
      </c>
      <c r="E138" s="1">
        <v>105.71428571428569</v>
      </c>
      <c r="F138">
        <v>25</v>
      </c>
      <c r="G138">
        <v>2</v>
      </c>
      <c r="H138">
        <v>2124</v>
      </c>
      <c r="I138">
        <f t="shared" si="10"/>
        <v>157176</v>
      </c>
      <c r="J138">
        <f t="shared" si="11"/>
        <v>4442</v>
      </c>
      <c r="K138">
        <f t="shared" si="12"/>
        <v>0</v>
      </c>
      <c r="L138">
        <f t="shared" si="13"/>
        <v>350918</v>
      </c>
      <c r="M138">
        <f t="shared" si="14"/>
        <v>0</v>
      </c>
    </row>
    <row r="139" spans="1:13" x14ac:dyDescent="0.3">
      <c r="A139" t="s">
        <v>11</v>
      </c>
      <c r="B139">
        <v>35</v>
      </c>
      <c r="C139">
        <v>45</v>
      </c>
      <c r="D139">
        <v>37</v>
      </c>
      <c r="E139" s="1">
        <v>105.71428571428569</v>
      </c>
      <c r="F139">
        <v>18</v>
      </c>
      <c r="G139">
        <v>2</v>
      </c>
      <c r="H139">
        <v>37524</v>
      </c>
      <c r="I139">
        <f t="shared" si="10"/>
        <v>1388388</v>
      </c>
      <c r="J139">
        <f t="shared" si="11"/>
        <v>39842</v>
      </c>
      <c r="K139">
        <f t="shared" si="12"/>
        <v>35206</v>
      </c>
      <c r="L139">
        <f t="shared" si="13"/>
        <v>3147518</v>
      </c>
      <c r="M139">
        <f t="shared" si="14"/>
        <v>2781274</v>
      </c>
    </row>
    <row r="140" spans="1:13" x14ac:dyDescent="0.3">
      <c r="A140" t="s">
        <v>11</v>
      </c>
      <c r="B140">
        <v>35</v>
      </c>
      <c r="C140">
        <v>45</v>
      </c>
      <c r="D140">
        <v>37</v>
      </c>
      <c r="E140" s="1">
        <v>105.71428571428569</v>
      </c>
      <c r="F140">
        <v>18</v>
      </c>
      <c r="G140">
        <v>2</v>
      </c>
      <c r="H140">
        <v>37524</v>
      </c>
      <c r="I140">
        <f t="shared" si="10"/>
        <v>1388388</v>
      </c>
      <c r="J140">
        <f t="shared" si="11"/>
        <v>39842</v>
      </c>
      <c r="K140">
        <f t="shared" si="12"/>
        <v>35206</v>
      </c>
      <c r="L140">
        <f t="shared" si="13"/>
        <v>3147518</v>
      </c>
      <c r="M140">
        <f t="shared" si="14"/>
        <v>2781274</v>
      </c>
    </row>
    <row r="141" spans="1:13" x14ac:dyDescent="0.3">
      <c r="A141" t="s">
        <v>7</v>
      </c>
      <c r="B141">
        <v>405</v>
      </c>
      <c r="C141">
        <v>489</v>
      </c>
      <c r="D141">
        <v>429</v>
      </c>
      <c r="E141" s="1">
        <v>105.9259259259259</v>
      </c>
      <c r="F141">
        <v>12</v>
      </c>
      <c r="G141">
        <v>0</v>
      </c>
      <c r="H141">
        <v>2676</v>
      </c>
      <c r="I141">
        <f t="shared" si="10"/>
        <v>1148004</v>
      </c>
      <c r="J141">
        <f t="shared" si="11"/>
        <v>4994</v>
      </c>
      <c r="K141">
        <f t="shared" si="12"/>
        <v>358</v>
      </c>
      <c r="L141">
        <f t="shared" si="13"/>
        <v>394526</v>
      </c>
      <c r="M141">
        <f t="shared" si="14"/>
        <v>28282</v>
      </c>
    </row>
    <row r="142" spans="1:13" x14ac:dyDescent="0.3">
      <c r="A142" t="s">
        <v>8</v>
      </c>
      <c r="B142">
        <v>200</v>
      </c>
      <c r="C142">
        <v>315</v>
      </c>
      <c r="D142">
        <v>214</v>
      </c>
      <c r="E142" s="1">
        <v>107</v>
      </c>
      <c r="F142">
        <v>32</v>
      </c>
      <c r="G142">
        <v>2</v>
      </c>
      <c r="H142">
        <v>2009</v>
      </c>
      <c r="I142">
        <f t="shared" si="10"/>
        <v>429926</v>
      </c>
      <c r="J142">
        <f t="shared" si="11"/>
        <v>4327</v>
      </c>
      <c r="K142">
        <f t="shared" si="12"/>
        <v>0</v>
      </c>
      <c r="L142">
        <f t="shared" si="13"/>
        <v>341833</v>
      </c>
      <c r="M142">
        <f t="shared" si="14"/>
        <v>0</v>
      </c>
    </row>
    <row r="143" spans="1:13" x14ac:dyDescent="0.3">
      <c r="A143" t="s">
        <v>8</v>
      </c>
      <c r="B143">
        <v>200</v>
      </c>
      <c r="C143">
        <v>325</v>
      </c>
      <c r="D143">
        <v>218</v>
      </c>
      <c r="E143" s="1">
        <v>109</v>
      </c>
      <c r="F143">
        <v>33</v>
      </c>
      <c r="G143">
        <v>2</v>
      </c>
      <c r="H143">
        <v>4224</v>
      </c>
      <c r="I143">
        <f t="shared" si="10"/>
        <v>920832</v>
      </c>
      <c r="J143">
        <f t="shared" si="11"/>
        <v>6542</v>
      </c>
      <c r="K143">
        <f t="shared" si="12"/>
        <v>1906</v>
      </c>
      <c r="L143">
        <f t="shared" si="13"/>
        <v>516818</v>
      </c>
      <c r="M143">
        <f t="shared" si="14"/>
        <v>150574</v>
      </c>
    </row>
    <row r="144" spans="1:13" x14ac:dyDescent="0.3">
      <c r="A144" t="s">
        <v>9</v>
      </c>
      <c r="B144">
        <v>100</v>
      </c>
      <c r="C144">
        <v>141</v>
      </c>
      <c r="D144">
        <v>109</v>
      </c>
      <c r="E144" s="1">
        <v>109</v>
      </c>
      <c r="F144">
        <v>23</v>
      </c>
      <c r="G144">
        <v>2</v>
      </c>
      <c r="H144">
        <v>319</v>
      </c>
      <c r="I144">
        <f t="shared" si="10"/>
        <v>34771</v>
      </c>
      <c r="J144">
        <f t="shared" si="11"/>
        <v>2637</v>
      </c>
      <c r="K144">
        <f t="shared" si="12"/>
        <v>0</v>
      </c>
      <c r="L144">
        <f t="shared" si="13"/>
        <v>208323</v>
      </c>
      <c r="M144">
        <f t="shared" si="14"/>
        <v>0</v>
      </c>
    </row>
    <row r="145" spans="1:13" x14ac:dyDescent="0.3">
      <c r="A145" t="s">
        <v>9</v>
      </c>
      <c r="B145">
        <v>100</v>
      </c>
      <c r="C145">
        <v>141</v>
      </c>
      <c r="D145">
        <v>109</v>
      </c>
      <c r="E145" s="1">
        <v>109</v>
      </c>
      <c r="F145">
        <v>23</v>
      </c>
      <c r="G145">
        <v>2</v>
      </c>
      <c r="H145">
        <v>319</v>
      </c>
      <c r="I145">
        <f t="shared" si="10"/>
        <v>34771</v>
      </c>
      <c r="J145">
        <f t="shared" si="11"/>
        <v>2637</v>
      </c>
      <c r="K145">
        <f t="shared" si="12"/>
        <v>0</v>
      </c>
      <c r="L145">
        <f t="shared" si="13"/>
        <v>208323</v>
      </c>
      <c r="M145">
        <f t="shared" si="14"/>
        <v>0</v>
      </c>
    </row>
    <row r="146" spans="1:13" x14ac:dyDescent="0.3">
      <c r="A146" t="s">
        <v>9</v>
      </c>
      <c r="B146">
        <v>100</v>
      </c>
      <c r="C146">
        <v>141</v>
      </c>
      <c r="D146">
        <v>109</v>
      </c>
      <c r="E146" s="1">
        <v>109</v>
      </c>
      <c r="F146">
        <v>23</v>
      </c>
      <c r="G146">
        <v>2</v>
      </c>
      <c r="H146">
        <v>319</v>
      </c>
      <c r="I146">
        <f t="shared" si="10"/>
        <v>34771</v>
      </c>
      <c r="J146">
        <f t="shared" si="11"/>
        <v>2637</v>
      </c>
      <c r="K146">
        <f t="shared" si="12"/>
        <v>0</v>
      </c>
      <c r="L146">
        <f t="shared" si="13"/>
        <v>208323</v>
      </c>
      <c r="M146">
        <f t="shared" si="14"/>
        <v>0</v>
      </c>
    </row>
    <row r="147" spans="1:13" x14ac:dyDescent="0.3">
      <c r="A147" t="s">
        <v>9</v>
      </c>
      <c r="B147">
        <v>100</v>
      </c>
      <c r="C147">
        <v>141</v>
      </c>
      <c r="D147">
        <v>109</v>
      </c>
      <c r="E147" s="1">
        <v>109</v>
      </c>
      <c r="F147">
        <v>22</v>
      </c>
      <c r="G147">
        <v>2</v>
      </c>
      <c r="H147">
        <v>351</v>
      </c>
      <c r="I147">
        <f t="shared" si="10"/>
        <v>38259</v>
      </c>
      <c r="J147">
        <f t="shared" si="11"/>
        <v>2669</v>
      </c>
      <c r="K147">
        <f t="shared" si="12"/>
        <v>0</v>
      </c>
      <c r="L147">
        <f t="shared" si="13"/>
        <v>210851</v>
      </c>
      <c r="M147">
        <f t="shared" si="14"/>
        <v>0</v>
      </c>
    </row>
    <row r="148" spans="1:13" x14ac:dyDescent="0.3">
      <c r="A148" t="s">
        <v>9</v>
      </c>
      <c r="B148">
        <v>100</v>
      </c>
      <c r="C148">
        <v>141</v>
      </c>
      <c r="D148">
        <v>109</v>
      </c>
      <c r="E148" s="1">
        <v>109</v>
      </c>
      <c r="F148">
        <v>22</v>
      </c>
      <c r="G148">
        <v>2</v>
      </c>
      <c r="H148">
        <v>351</v>
      </c>
      <c r="I148">
        <f t="shared" si="10"/>
        <v>38259</v>
      </c>
      <c r="J148">
        <f t="shared" si="11"/>
        <v>2669</v>
      </c>
      <c r="K148">
        <f t="shared" si="12"/>
        <v>0</v>
      </c>
      <c r="L148">
        <f t="shared" si="13"/>
        <v>210851</v>
      </c>
      <c r="M148">
        <f t="shared" si="14"/>
        <v>0</v>
      </c>
    </row>
    <row r="149" spans="1:13" x14ac:dyDescent="0.3">
      <c r="A149" t="s">
        <v>9</v>
      </c>
      <c r="B149">
        <v>100</v>
      </c>
      <c r="C149">
        <v>141</v>
      </c>
      <c r="D149">
        <v>109</v>
      </c>
      <c r="E149" s="1">
        <v>109</v>
      </c>
      <c r="F149">
        <v>23</v>
      </c>
      <c r="G149">
        <v>2</v>
      </c>
      <c r="H149">
        <v>319</v>
      </c>
      <c r="I149">
        <f t="shared" si="10"/>
        <v>34771</v>
      </c>
      <c r="J149">
        <f t="shared" si="11"/>
        <v>2637</v>
      </c>
      <c r="K149">
        <f t="shared" si="12"/>
        <v>0</v>
      </c>
      <c r="L149">
        <f t="shared" si="13"/>
        <v>208323</v>
      </c>
      <c r="M149">
        <f t="shared" si="14"/>
        <v>0</v>
      </c>
    </row>
    <row r="150" spans="1:13" x14ac:dyDescent="0.3">
      <c r="A150" t="s">
        <v>9</v>
      </c>
      <c r="B150">
        <v>100</v>
      </c>
      <c r="C150">
        <v>141</v>
      </c>
      <c r="D150">
        <v>109</v>
      </c>
      <c r="E150" s="1">
        <v>109</v>
      </c>
      <c r="F150">
        <v>23</v>
      </c>
      <c r="G150">
        <v>2</v>
      </c>
      <c r="H150">
        <v>319</v>
      </c>
      <c r="I150">
        <f t="shared" si="10"/>
        <v>34771</v>
      </c>
      <c r="J150">
        <f t="shared" si="11"/>
        <v>2637</v>
      </c>
      <c r="K150">
        <f t="shared" si="12"/>
        <v>0</v>
      </c>
      <c r="L150">
        <f t="shared" si="13"/>
        <v>208323</v>
      </c>
      <c r="M150">
        <f t="shared" si="14"/>
        <v>0</v>
      </c>
    </row>
    <row r="151" spans="1:13" x14ac:dyDescent="0.3">
      <c r="A151" t="s">
        <v>9</v>
      </c>
      <c r="B151">
        <v>100</v>
      </c>
      <c r="C151">
        <v>141</v>
      </c>
      <c r="D151">
        <v>109</v>
      </c>
      <c r="E151" s="1">
        <v>109</v>
      </c>
      <c r="F151">
        <v>23</v>
      </c>
      <c r="G151">
        <v>2</v>
      </c>
      <c r="H151">
        <v>319</v>
      </c>
      <c r="I151">
        <f t="shared" si="10"/>
        <v>34771</v>
      </c>
      <c r="J151">
        <f t="shared" si="11"/>
        <v>2637</v>
      </c>
      <c r="K151">
        <f t="shared" si="12"/>
        <v>0</v>
      </c>
      <c r="L151">
        <f t="shared" si="13"/>
        <v>208323</v>
      </c>
      <c r="M151">
        <f t="shared" si="14"/>
        <v>0</v>
      </c>
    </row>
    <row r="152" spans="1:13" x14ac:dyDescent="0.3">
      <c r="A152" t="s">
        <v>7</v>
      </c>
      <c r="B152">
        <v>200</v>
      </c>
      <c r="C152">
        <v>279</v>
      </c>
      <c r="D152">
        <v>219</v>
      </c>
      <c r="E152" s="1">
        <v>109.5</v>
      </c>
      <c r="F152">
        <v>22</v>
      </c>
      <c r="G152">
        <v>2</v>
      </c>
      <c r="H152">
        <v>0</v>
      </c>
      <c r="I152">
        <f t="shared" si="10"/>
        <v>0</v>
      </c>
      <c r="J152">
        <f t="shared" si="11"/>
        <v>2318</v>
      </c>
      <c r="K152">
        <f t="shared" si="12"/>
        <v>0</v>
      </c>
      <c r="L152">
        <f t="shared" si="13"/>
        <v>183122</v>
      </c>
      <c r="M152">
        <f t="shared" si="14"/>
        <v>0</v>
      </c>
    </row>
    <row r="153" spans="1:13" x14ac:dyDescent="0.3">
      <c r="A153" t="s">
        <v>7</v>
      </c>
      <c r="B153">
        <v>70</v>
      </c>
      <c r="C153">
        <v>79</v>
      </c>
      <c r="D153">
        <v>79</v>
      </c>
      <c r="E153" s="1">
        <v>112.8571428571429</v>
      </c>
      <c r="F153">
        <v>0</v>
      </c>
      <c r="G153">
        <v>2</v>
      </c>
      <c r="H153">
        <v>1404</v>
      </c>
      <c r="I153">
        <f t="shared" si="10"/>
        <v>110916</v>
      </c>
      <c r="J153">
        <f t="shared" si="11"/>
        <v>3722</v>
      </c>
      <c r="K153">
        <f t="shared" si="12"/>
        <v>0</v>
      </c>
      <c r="L153">
        <f t="shared" si="13"/>
        <v>294038</v>
      </c>
      <c r="M153">
        <f t="shared" si="14"/>
        <v>0</v>
      </c>
    </row>
    <row r="154" spans="1:13" x14ac:dyDescent="0.3">
      <c r="A154" t="s">
        <v>7</v>
      </c>
      <c r="B154">
        <v>70</v>
      </c>
      <c r="C154">
        <v>79</v>
      </c>
      <c r="D154">
        <v>79</v>
      </c>
      <c r="E154" s="1">
        <v>112.8571428571429</v>
      </c>
      <c r="F154">
        <v>0</v>
      </c>
      <c r="G154">
        <v>2</v>
      </c>
      <c r="H154">
        <v>1404</v>
      </c>
      <c r="I154">
        <f t="shared" si="10"/>
        <v>110916</v>
      </c>
      <c r="J154">
        <f t="shared" si="11"/>
        <v>3722</v>
      </c>
      <c r="K154">
        <f t="shared" si="12"/>
        <v>0</v>
      </c>
      <c r="L154">
        <f t="shared" si="13"/>
        <v>294038</v>
      </c>
      <c r="M154">
        <f t="shared" si="14"/>
        <v>0</v>
      </c>
    </row>
    <row r="155" spans="1:13" x14ac:dyDescent="0.3">
      <c r="A155" t="s">
        <v>7</v>
      </c>
      <c r="B155">
        <v>120</v>
      </c>
      <c r="C155">
        <v>179</v>
      </c>
      <c r="D155">
        <v>136</v>
      </c>
      <c r="E155" s="1">
        <v>113.3333333333333</v>
      </c>
      <c r="F155">
        <v>24</v>
      </c>
      <c r="G155">
        <v>2</v>
      </c>
      <c r="H155">
        <v>745</v>
      </c>
      <c r="I155">
        <f t="shared" si="10"/>
        <v>101320</v>
      </c>
      <c r="J155">
        <f t="shared" si="11"/>
        <v>3063</v>
      </c>
      <c r="K155">
        <f t="shared" si="12"/>
        <v>0</v>
      </c>
      <c r="L155">
        <f t="shared" si="13"/>
        <v>241977</v>
      </c>
      <c r="M155">
        <f t="shared" si="14"/>
        <v>0</v>
      </c>
    </row>
    <row r="156" spans="1:13" x14ac:dyDescent="0.3">
      <c r="A156" t="s">
        <v>7</v>
      </c>
      <c r="B156">
        <v>120</v>
      </c>
      <c r="C156">
        <v>179</v>
      </c>
      <c r="D156">
        <v>136</v>
      </c>
      <c r="E156" s="1">
        <v>113.3333333333333</v>
      </c>
      <c r="F156">
        <v>24</v>
      </c>
      <c r="G156">
        <v>2</v>
      </c>
      <c r="H156">
        <v>745</v>
      </c>
      <c r="I156">
        <f t="shared" si="10"/>
        <v>101320</v>
      </c>
      <c r="J156">
        <f t="shared" si="11"/>
        <v>3063</v>
      </c>
      <c r="K156">
        <f t="shared" si="12"/>
        <v>0</v>
      </c>
      <c r="L156">
        <f t="shared" si="13"/>
        <v>241977</v>
      </c>
      <c r="M156">
        <f t="shared" si="14"/>
        <v>0</v>
      </c>
    </row>
    <row r="157" spans="1:13" x14ac:dyDescent="0.3">
      <c r="A157" t="s">
        <v>7</v>
      </c>
      <c r="B157">
        <v>160</v>
      </c>
      <c r="C157">
        <v>299</v>
      </c>
      <c r="D157">
        <v>182</v>
      </c>
      <c r="E157" s="1">
        <v>113.75</v>
      </c>
      <c r="F157">
        <v>39</v>
      </c>
      <c r="G157">
        <v>2</v>
      </c>
      <c r="H157">
        <v>794</v>
      </c>
      <c r="I157">
        <f t="shared" si="10"/>
        <v>144508</v>
      </c>
      <c r="J157">
        <f t="shared" si="11"/>
        <v>3112</v>
      </c>
      <c r="K157">
        <f t="shared" si="12"/>
        <v>0</v>
      </c>
      <c r="L157">
        <f t="shared" si="13"/>
        <v>245848</v>
      </c>
      <c r="M157">
        <f t="shared" si="14"/>
        <v>0</v>
      </c>
    </row>
    <row r="158" spans="1:13" x14ac:dyDescent="0.3">
      <c r="A158" t="s">
        <v>7</v>
      </c>
      <c r="B158">
        <v>160</v>
      </c>
      <c r="C158">
        <v>299</v>
      </c>
      <c r="D158">
        <v>182</v>
      </c>
      <c r="E158" s="1">
        <v>113.75</v>
      </c>
      <c r="F158">
        <v>39</v>
      </c>
      <c r="G158">
        <v>2</v>
      </c>
      <c r="H158">
        <v>794</v>
      </c>
      <c r="I158">
        <f t="shared" si="10"/>
        <v>144508</v>
      </c>
      <c r="J158">
        <f t="shared" si="11"/>
        <v>3112</v>
      </c>
      <c r="K158">
        <f t="shared" si="12"/>
        <v>0</v>
      </c>
      <c r="L158">
        <f t="shared" si="13"/>
        <v>245848</v>
      </c>
      <c r="M158">
        <f t="shared" si="14"/>
        <v>0</v>
      </c>
    </row>
    <row r="159" spans="1:13" x14ac:dyDescent="0.3">
      <c r="A159" t="s">
        <v>8</v>
      </c>
      <c r="B159">
        <v>200</v>
      </c>
      <c r="C159">
        <v>325</v>
      </c>
      <c r="D159">
        <v>229</v>
      </c>
      <c r="E159" s="1">
        <v>114.5</v>
      </c>
      <c r="F159">
        <v>30</v>
      </c>
      <c r="G159">
        <v>2</v>
      </c>
      <c r="H159">
        <v>4224</v>
      </c>
      <c r="I159">
        <f t="shared" si="10"/>
        <v>967296</v>
      </c>
      <c r="J159">
        <f t="shared" si="11"/>
        <v>6542</v>
      </c>
      <c r="K159">
        <f t="shared" si="12"/>
        <v>1906</v>
      </c>
      <c r="L159">
        <f t="shared" si="13"/>
        <v>516818</v>
      </c>
      <c r="M159">
        <f t="shared" si="14"/>
        <v>150574</v>
      </c>
    </row>
    <row r="160" spans="1:13" x14ac:dyDescent="0.3">
      <c r="A160" t="s">
        <v>8</v>
      </c>
      <c r="B160">
        <v>200</v>
      </c>
      <c r="C160">
        <v>325</v>
      </c>
      <c r="D160">
        <v>229</v>
      </c>
      <c r="E160" s="1">
        <v>114.5</v>
      </c>
      <c r="F160">
        <v>30</v>
      </c>
      <c r="G160">
        <v>2</v>
      </c>
      <c r="H160">
        <v>4224</v>
      </c>
      <c r="I160">
        <f t="shared" si="10"/>
        <v>967296</v>
      </c>
      <c r="J160">
        <f t="shared" si="11"/>
        <v>6542</v>
      </c>
      <c r="K160">
        <f t="shared" si="12"/>
        <v>1906</v>
      </c>
      <c r="L160">
        <f t="shared" si="13"/>
        <v>516818</v>
      </c>
      <c r="M160">
        <f t="shared" si="14"/>
        <v>150574</v>
      </c>
    </row>
    <row r="161" spans="1:13" x14ac:dyDescent="0.3">
      <c r="A161" t="s">
        <v>7</v>
      </c>
      <c r="B161">
        <v>240</v>
      </c>
      <c r="C161">
        <v>358</v>
      </c>
      <c r="D161">
        <v>275</v>
      </c>
      <c r="E161" s="1">
        <v>114.5833333333333</v>
      </c>
      <c r="F161">
        <v>23</v>
      </c>
      <c r="G161">
        <v>2</v>
      </c>
      <c r="H161">
        <v>296</v>
      </c>
      <c r="I161">
        <f t="shared" si="10"/>
        <v>81400</v>
      </c>
      <c r="J161">
        <f t="shared" si="11"/>
        <v>2614</v>
      </c>
      <c r="K161">
        <f t="shared" si="12"/>
        <v>0</v>
      </c>
      <c r="L161">
        <f t="shared" si="13"/>
        <v>206506</v>
      </c>
      <c r="M161">
        <f t="shared" si="14"/>
        <v>0</v>
      </c>
    </row>
    <row r="162" spans="1:13" x14ac:dyDescent="0.3">
      <c r="A162" t="s">
        <v>7</v>
      </c>
      <c r="B162">
        <v>120</v>
      </c>
      <c r="C162">
        <v>179</v>
      </c>
      <c r="D162">
        <v>139</v>
      </c>
      <c r="E162" s="1">
        <v>115.8333333333333</v>
      </c>
      <c r="F162">
        <v>22</v>
      </c>
      <c r="G162">
        <v>2</v>
      </c>
      <c r="H162">
        <v>764</v>
      </c>
      <c r="I162">
        <f t="shared" si="10"/>
        <v>106196</v>
      </c>
      <c r="J162">
        <f t="shared" si="11"/>
        <v>3082</v>
      </c>
      <c r="K162">
        <f t="shared" si="12"/>
        <v>0</v>
      </c>
      <c r="L162">
        <f t="shared" si="13"/>
        <v>243478</v>
      </c>
      <c r="M162">
        <f t="shared" si="14"/>
        <v>0</v>
      </c>
    </row>
    <row r="163" spans="1:13" x14ac:dyDescent="0.3">
      <c r="A163" t="s">
        <v>7</v>
      </c>
      <c r="B163">
        <v>105</v>
      </c>
      <c r="C163">
        <v>150</v>
      </c>
      <c r="D163">
        <v>122</v>
      </c>
      <c r="E163" s="1">
        <v>116.1904761904762</v>
      </c>
      <c r="F163">
        <v>19</v>
      </c>
      <c r="G163">
        <v>2</v>
      </c>
      <c r="H163">
        <v>2495</v>
      </c>
      <c r="I163">
        <f t="shared" si="10"/>
        <v>304390</v>
      </c>
      <c r="J163">
        <f t="shared" si="11"/>
        <v>4813</v>
      </c>
      <c r="K163">
        <f t="shared" si="12"/>
        <v>177</v>
      </c>
      <c r="L163">
        <f t="shared" si="13"/>
        <v>380227</v>
      </c>
      <c r="M163">
        <f t="shared" si="14"/>
        <v>13983</v>
      </c>
    </row>
    <row r="164" spans="1:13" x14ac:dyDescent="0.3">
      <c r="A164" t="s">
        <v>7</v>
      </c>
      <c r="B164">
        <v>250</v>
      </c>
      <c r="C164">
        <v>399</v>
      </c>
      <c r="D164">
        <v>299</v>
      </c>
      <c r="E164" s="1">
        <v>119.6</v>
      </c>
      <c r="F164">
        <v>25</v>
      </c>
      <c r="G164">
        <v>2</v>
      </c>
      <c r="H164">
        <v>1094</v>
      </c>
      <c r="I164">
        <f t="shared" si="10"/>
        <v>327106</v>
      </c>
      <c r="J164">
        <f t="shared" si="11"/>
        <v>3412</v>
      </c>
      <c r="K164">
        <f t="shared" si="12"/>
        <v>0</v>
      </c>
      <c r="L164">
        <f t="shared" si="13"/>
        <v>269548</v>
      </c>
      <c r="M164">
        <f t="shared" si="14"/>
        <v>0</v>
      </c>
    </row>
    <row r="165" spans="1:13" x14ac:dyDescent="0.3">
      <c r="A165" t="s">
        <v>7</v>
      </c>
      <c r="B165">
        <v>250</v>
      </c>
      <c r="C165">
        <v>399</v>
      </c>
      <c r="D165">
        <v>299</v>
      </c>
      <c r="E165" s="1">
        <v>119.6</v>
      </c>
      <c r="F165">
        <v>25</v>
      </c>
      <c r="G165">
        <v>2</v>
      </c>
      <c r="H165">
        <v>1094</v>
      </c>
      <c r="I165">
        <f t="shared" si="10"/>
        <v>327106</v>
      </c>
      <c r="J165">
        <f t="shared" si="11"/>
        <v>3412</v>
      </c>
      <c r="K165">
        <f t="shared" si="12"/>
        <v>0</v>
      </c>
      <c r="L165">
        <f t="shared" si="13"/>
        <v>269548</v>
      </c>
      <c r="M165">
        <f t="shared" si="14"/>
        <v>0</v>
      </c>
    </row>
    <row r="166" spans="1:13" x14ac:dyDescent="0.3">
      <c r="A166" t="s">
        <v>9</v>
      </c>
      <c r="B166">
        <v>250</v>
      </c>
      <c r="C166">
        <v>394</v>
      </c>
      <c r="D166">
        <v>301</v>
      </c>
      <c r="E166" s="1">
        <v>120.4</v>
      </c>
      <c r="F166">
        <v>24</v>
      </c>
      <c r="G166">
        <v>2</v>
      </c>
      <c r="H166">
        <v>265</v>
      </c>
      <c r="I166">
        <f t="shared" si="10"/>
        <v>79765</v>
      </c>
      <c r="J166">
        <f t="shared" si="11"/>
        <v>2583</v>
      </c>
      <c r="K166">
        <f t="shared" si="12"/>
        <v>0</v>
      </c>
      <c r="L166">
        <f t="shared" si="13"/>
        <v>204057</v>
      </c>
      <c r="M166">
        <f t="shared" si="14"/>
        <v>0</v>
      </c>
    </row>
    <row r="167" spans="1:13" x14ac:dyDescent="0.3">
      <c r="A167" t="s">
        <v>9</v>
      </c>
      <c r="B167">
        <v>250</v>
      </c>
      <c r="C167">
        <v>394</v>
      </c>
      <c r="D167">
        <v>301</v>
      </c>
      <c r="E167" s="1">
        <v>120.4</v>
      </c>
      <c r="F167">
        <v>24</v>
      </c>
      <c r="G167">
        <v>2</v>
      </c>
      <c r="H167">
        <v>265</v>
      </c>
      <c r="I167">
        <f t="shared" si="10"/>
        <v>79765</v>
      </c>
      <c r="J167">
        <f t="shared" si="11"/>
        <v>2583</v>
      </c>
      <c r="K167">
        <f t="shared" si="12"/>
        <v>0</v>
      </c>
      <c r="L167">
        <f t="shared" si="13"/>
        <v>204057</v>
      </c>
      <c r="M167">
        <f t="shared" si="14"/>
        <v>0</v>
      </c>
    </row>
    <row r="168" spans="1:13" x14ac:dyDescent="0.3">
      <c r="A168" t="s">
        <v>7</v>
      </c>
      <c r="B168">
        <v>325</v>
      </c>
      <c r="C168">
        <v>499</v>
      </c>
      <c r="D168">
        <v>399</v>
      </c>
      <c r="E168" s="1">
        <v>122.7692307692308</v>
      </c>
      <c r="F168">
        <v>20</v>
      </c>
      <c r="G168">
        <v>2</v>
      </c>
      <c r="H168">
        <v>504</v>
      </c>
      <c r="I168">
        <f t="shared" si="10"/>
        <v>201096</v>
      </c>
      <c r="J168">
        <f t="shared" si="11"/>
        <v>2822</v>
      </c>
      <c r="K168">
        <f t="shared" si="12"/>
        <v>0</v>
      </c>
      <c r="L168">
        <f t="shared" si="13"/>
        <v>222938</v>
      </c>
      <c r="M168">
        <f t="shared" si="14"/>
        <v>0</v>
      </c>
    </row>
    <row r="169" spans="1:13" x14ac:dyDescent="0.3">
      <c r="A169" t="s">
        <v>8</v>
      </c>
      <c r="B169">
        <v>200</v>
      </c>
      <c r="C169">
        <v>465</v>
      </c>
      <c r="D169">
        <v>249</v>
      </c>
      <c r="E169" s="1">
        <v>124.5</v>
      </c>
      <c r="F169">
        <v>46</v>
      </c>
      <c r="G169">
        <v>2</v>
      </c>
      <c r="H169">
        <v>1495</v>
      </c>
      <c r="I169">
        <f t="shared" si="10"/>
        <v>372255</v>
      </c>
      <c r="J169">
        <f t="shared" si="11"/>
        <v>3813</v>
      </c>
      <c r="K169">
        <f t="shared" si="12"/>
        <v>0</v>
      </c>
      <c r="L169">
        <f t="shared" si="13"/>
        <v>301227</v>
      </c>
      <c r="M169">
        <f t="shared" si="14"/>
        <v>0</v>
      </c>
    </row>
    <row r="170" spans="1:13" x14ac:dyDescent="0.3">
      <c r="A170" t="s">
        <v>8</v>
      </c>
      <c r="B170">
        <v>200</v>
      </c>
      <c r="C170">
        <v>465</v>
      </c>
      <c r="D170">
        <v>249</v>
      </c>
      <c r="E170" s="1">
        <v>124.5</v>
      </c>
      <c r="F170">
        <v>46</v>
      </c>
      <c r="G170">
        <v>2</v>
      </c>
      <c r="H170">
        <v>1495</v>
      </c>
      <c r="I170">
        <f t="shared" si="10"/>
        <v>372255</v>
      </c>
      <c r="J170">
        <f t="shared" si="11"/>
        <v>3813</v>
      </c>
      <c r="K170">
        <f t="shared" si="12"/>
        <v>0</v>
      </c>
      <c r="L170">
        <f t="shared" si="13"/>
        <v>301227</v>
      </c>
      <c r="M170">
        <f t="shared" si="14"/>
        <v>0</v>
      </c>
    </row>
    <row r="171" spans="1:13" x14ac:dyDescent="0.3">
      <c r="A171" t="s">
        <v>8</v>
      </c>
      <c r="B171">
        <v>20</v>
      </c>
      <c r="C171">
        <v>35</v>
      </c>
      <c r="D171">
        <v>25</v>
      </c>
      <c r="E171" s="1">
        <v>125</v>
      </c>
      <c r="F171">
        <v>29</v>
      </c>
      <c r="G171">
        <v>2</v>
      </c>
      <c r="H171">
        <v>14113</v>
      </c>
      <c r="I171">
        <f t="shared" si="10"/>
        <v>352825</v>
      </c>
      <c r="J171">
        <f t="shared" si="11"/>
        <v>16431</v>
      </c>
      <c r="K171">
        <f t="shared" si="12"/>
        <v>11795</v>
      </c>
      <c r="L171">
        <f t="shared" si="13"/>
        <v>1298049</v>
      </c>
      <c r="M171">
        <f t="shared" si="14"/>
        <v>931805</v>
      </c>
    </row>
    <row r="172" spans="1:13" x14ac:dyDescent="0.3">
      <c r="A172" t="s">
        <v>8</v>
      </c>
      <c r="B172">
        <v>200</v>
      </c>
      <c r="C172">
        <v>349</v>
      </c>
      <c r="D172">
        <v>251</v>
      </c>
      <c r="E172" s="1">
        <v>125.5</v>
      </c>
      <c r="F172">
        <v>28</v>
      </c>
      <c r="G172">
        <v>2</v>
      </c>
      <c r="H172">
        <v>3920</v>
      </c>
      <c r="I172">
        <f t="shared" si="10"/>
        <v>983920</v>
      </c>
      <c r="J172">
        <f t="shared" si="11"/>
        <v>6238</v>
      </c>
      <c r="K172">
        <f t="shared" si="12"/>
        <v>1602</v>
      </c>
      <c r="L172">
        <f t="shared" si="13"/>
        <v>492802</v>
      </c>
      <c r="M172">
        <f t="shared" si="14"/>
        <v>126558</v>
      </c>
    </row>
    <row r="173" spans="1:13" x14ac:dyDescent="0.3">
      <c r="A173" t="s">
        <v>8</v>
      </c>
      <c r="B173">
        <v>200</v>
      </c>
      <c r="C173">
        <v>395</v>
      </c>
      <c r="D173">
        <v>259</v>
      </c>
      <c r="E173" s="1">
        <v>129.5</v>
      </c>
      <c r="F173">
        <v>34</v>
      </c>
      <c r="G173">
        <v>2</v>
      </c>
      <c r="H173">
        <v>2985</v>
      </c>
      <c r="I173">
        <f t="shared" si="10"/>
        <v>773115</v>
      </c>
      <c r="J173">
        <f t="shared" si="11"/>
        <v>5303</v>
      </c>
      <c r="K173">
        <f t="shared" si="12"/>
        <v>667</v>
      </c>
      <c r="L173">
        <f t="shared" si="13"/>
        <v>418937</v>
      </c>
      <c r="M173">
        <f t="shared" si="14"/>
        <v>52693</v>
      </c>
    </row>
    <row r="174" spans="1:13" x14ac:dyDescent="0.3">
      <c r="A174" t="s">
        <v>8</v>
      </c>
      <c r="B174">
        <v>200</v>
      </c>
      <c r="C174">
        <v>395</v>
      </c>
      <c r="D174">
        <v>259</v>
      </c>
      <c r="E174" s="1">
        <v>129.5</v>
      </c>
      <c r="F174">
        <v>34</v>
      </c>
      <c r="G174">
        <v>2</v>
      </c>
      <c r="H174">
        <v>2985</v>
      </c>
      <c r="I174">
        <f t="shared" si="10"/>
        <v>773115</v>
      </c>
      <c r="J174">
        <f t="shared" si="11"/>
        <v>5303</v>
      </c>
      <c r="K174">
        <f t="shared" si="12"/>
        <v>667</v>
      </c>
      <c r="L174">
        <f t="shared" si="13"/>
        <v>418937</v>
      </c>
      <c r="M174">
        <f t="shared" si="14"/>
        <v>52693</v>
      </c>
    </row>
    <row r="175" spans="1:13" x14ac:dyDescent="0.3">
      <c r="A175" t="s">
        <v>8</v>
      </c>
      <c r="B175">
        <v>20</v>
      </c>
      <c r="C175">
        <v>40</v>
      </c>
      <c r="D175">
        <v>26</v>
      </c>
      <c r="E175" s="1">
        <v>130</v>
      </c>
      <c r="F175">
        <v>35</v>
      </c>
      <c r="G175">
        <v>2</v>
      </c>
      <c r="H175">
        <v>14107</v>
      </c>
      <c r="I175">
        <f t="shared" si="10"/>
        <v>366782</v>
      </c>
      <c r="J175">
        <f t="shared" si="11"/>
        <v>16425</v>
      </c>
      <c r="K175">
        <f t="shared" si="12"/>
        <v>11789</v>
      </c>
      <c r="L175">
        <f t="shared" si="13"/>
        <v>1297575</v>
      </c>
      <c r="M175">
        <f t="shared" si="14"/>
        <v>931331</v>
      </c>
    </row>
    <row r="176" spans="1:13" x14ac:dyDescent="0.3">
      <c r="A176" t="s">
        <v>7</v>
      </c>
      <c r="B176">
        <v>40</v>
      </c>
      <c r="C176">
        <v>80</v>
      </c>
      <c r="D176">
        <v>53</v>
      </c>
      <c r="E176" s="1">
        <v>132.5</v>
      </c>
      <c r="F176">
        <v>34</v>
      </c>
      <c r="G176">
        <v>2</v>
      </c>
      <c r="H176">
        <v>4804</v>
      </c>
      <c r="I176">
        <f t="shared" si="10"/>
        <v>254612</v>
      </c>
      <c r="J176">
        <f t="shared" si="11"/>
        <v>7122</v>
      </c>
      <c r="K176">
        <f t="shared" si="12"/>
        <v>2486</v>
      </c>
      <c r="L176">
        <f t="shared" si="13"/>
        <v>562638</v>
      </c>
      <c r="M176">
        <f t="shared" si="14"/>
        <v>196394</v>
      </c>
    </row>
    <row r="177" spans="1:13" x14ac:dyDescent="0.3">
      <c r="A177" t="s">
        <v>7</v>
      </c>
      <c r="B177">
        <v>60</v>
      </c>
      <c r="C177">
        <v>120</v>
      </c>
      <c r="D177">
        <v>80</v>
      </c>
      <c r="E177" s="1">
        <v>133.33333333333329</v>
      </c>
      <c r="F177">
        <v>33</v>
      </c>
      <c r="G177">
        <v>2</v>
      </c>
      <c r="H177">
        <v>5228</v>
      </c>
      <c r="I177">
        <f t="shared" si="10"/>
        <v>418240</v>
      </c>
      <c r="J177">
        <f t="shared" si="11"/>
        <v>7546</v>
      </c>
      <c r="K177">
        <f t="shared" si="12"/>
        <v>2910</v>
      </c>
      <c r="L177">
        <f t="shared" si="13"/>
        <v>596134</v>
      </c>
      <c r="M177">
        <f t="shared" si="14"/>
        <v>229890</v>
      </c>
    </row>
    <row r="178" spans="1:13" x14ac:dyDescent="0.3">
      <c r="A178" t="s">
        <v>8</v>
      </c>
      <c r="B178">
        <v>200</v>
      </c>
      <c r="C178">
        <v>365</v>
      </c>
      <c r="D178">
        <v>268</v>
      </c>
      <c r="E178" s="1">
        <v>134</v>
      </c>
      <c r="F178">
        <v>27</v>
      </c>
      <c r="G178">
        <v>2</v>
      </c>
      <c r="H178">
        <v>1529</v>
      </c>
      <c r="I178">
        <f t="shared" si="10"/>
        <v>409772</v>
      </c>
      <c r="J178">
        <f t="shared" si="11"/>
        <v>3847</v>
      </c>
      <c r="K178">
        <f t="shared" si="12"/>
        <v>0</v>
      </c>
      <c r="L178">
        <f t="shared" si="13"/>
        <v>303913</v>
      </c>
      <c r="M178">
        <f t="shared" si="14"/>
        <v>0</v>
      </c>
    </row>
    <row r="179" spans="1:13" x14ac:dyDescent="0.3">
      <c r="A179" t="s">
        <v>8</v>
      </c>
      <c r="B179">
        <v>200</v>
      </c>
      <c r="C179">
        <v>365</v>
      </c>
      <c r="D179">
        <v>268</v>
      </c>
      <c r="E179" s="1">
        <v>134</v>
      </c>
      <c r="F179">
        <v>27</v>
      </c>
      <c r="G179">
        <v>2</v>
      </c>
      <c r="H179">
        <v>1529</v>
      </c>
      <c r="I179">
        <f t="shared" si="10"/>
        <v>409772</v>
      </c>
      <c r="J179">
        <f t="shared" si="11"/>
        <v>3847</v>
      </c>
      <c r="K179">
        <f t="shared" si="12"/>
        <v>0</v>
      </c>
      <c r="L179">
        <f t="shared" si="13"/>
        <v>303913</v>
      </c>
      <c r="M179">
        <f t="shared" si="14"/>
        <v>0</v>
      </c>
    </row>
    <row r="180" spans="1:13" x14ac:dyDescent="0.3">
      <c r="A180" t="s">
        <v>7</v>
      </c>
      <c r="B180">
        <v>20</v>
      </c>
      <c r="C180">
        <v>40</v>
      </c>
      <c r="D180">
        <v>27</v>
      </c>
      <c r="E180" s="1">
        <v>135</v>
      </c>
      <c r="F180">
        <v>32</v>
      </c>
      <c r="G180">
        <v>2</v>
      </c>
      <c r="H180">
        <v>14107</v>
      </c>
      <c r="I180">
        <f t="shared" si="10"/>
        <v>380889</v>
      </c>
      <c r="J180">
        <f t="shared" si="11"/>
        <v>16425</v>
      </c>
      <c r="K180">
        <f t="shared" si="12"/>
        <v>11789</v>
      </c>
      <c r="L180">
        <f t="shared" si="13"/>
        <v>1297575</v>
      </c>
      <c r="M180">
        <f t="shared" si="14"/>
        <v>931331</v>
      </c>
    </row>
    <row r="181" spans="1:13" x14ac:dyDescent="0.3">
      <c r="A181" t="s">
        <v>7</v>
      </c>
      <c r="B181">
        <v>90</v>
      </c>
      <c r="C181">
        <v>150</v>
      </c>
      <c r="D181">
        <v>122</v>
      </c>
      <c r="E181" s="1">
        <v>135.5555555555556</v>
      </c>
      <c r="F181">
        <v>19</v>
      </c>
      <c r="G181">
        <v>2</v>
      </c>
      <c r="H181">
        <v>2499</v>
      </c>
      <c r="I181">
        <f t="shared" si="10"/>
        <v>304878</v>
      </c>
      <c r="J181">
        <f t="shared" si="11"/>
        <v>4817</v>
      </c>
      <c r="K181">
        <f t="shared" si="12"/>
        <v>181</v>
      </c>
      <c r="L181">
        <f t="shared" si="13"/>
        <v>380543</v>
      </c>
      <c r="M181">
        <f t="shared" si="14"/>
        <v>14299</v>
      </c>
    </row>
    <row r="182" spans="1:13" x14ac:dyDescent="0.3">
      <c r="A182" t="s">
        <v>7</v>
      </c>
      <c r="B182">
        <v>30</v>
      </c>
      <c r="C182">
        <v>50</v>
      </c>
      <c r="D182">
        <v>41</v>
      </c>
      <c r="E182" s="1">
        <v>136.66666666666671</v>
      </c>
      <c r="F182">
        <v>18</v>
      </c>
      <c r="G182">
        <v>2</v>
      </c>
      <c r="H182">
        <v>12410</v>
      </c>
      <c r="I182">
        <f t="shared" si="10"/>
        <v>508810</v>
      </c>
      <c r="J182">
        <f t="shared" si="11"/>
        <v>14728</v>
      </c>
      <c r="K182">
        <f t="shared" si="12"/>
        <v>10092</v>
      </c>
      <c r="L182">
        <f t="shared" si="13"/>
        <v>1163512</v>
      </c>
      <c r="M182">
        <f t="shared" si="14"/>
        <v>797268</v>
      </c>
    </row>
    <row r="183" spans="1:13" x14ac:dyDescent="0.3">
      <c r="A183" t="s">
        <v>7</v>
      </c>
      <c r="B183">
        <v>30</v>
      </c>
      <c r="C183">
        <v>50</v>
      </c>
      <c r="D183">
        <v>41</v>
      </c>
      <c r="E183" s="1">
        <v>136.66666666666671</v>
      </c>
      <c r="F183">
        <v>18</v>
      </c>
      <c r="G183">
        <v>2</v>
      </c>
      <c r="H183">
        <v>12410</v>
      </c>
      <c r="I183">
        <f t="shared" si="10"/>
        <v>508810</v>
      </c>
      <c r="J183">
        <f t="shared" si="11"/>
        <v>14728</v>
      </c>
      <c r="K183">
        <f t="shared" si="12"/>
        <v>10092</v>
      </c>
      <c r="L183">
        <f t="shared" si="13"/>
        <v>1163512</v>
      </c>
      <c r="M183">
        <f t="shared" si="14"/>
        <v>797268</v>
      </c>
    </row>
    <row r="184" spans="1:13" x14ac:dyDescent="0.3">
      <c r="A184" t="s">
        <v>9</v>
      </c>
      <c r="B184">
        <v>210</v>
      </c>
      <c r="C184">
        <v>374</v>
      </c>
      <c r="D184">
        <v>291</v>
      </c>
      <c r="E184" s="1">
        <v>138.57142857142861</v>
      </c>
      <c r="F184">
        <v>22</v>
      </c>
      <c r="G184">
        <v>2</v>
      </c>
      <c r="H184">
        <v>400</v>
      </c>
      <c r="I184">
        <f t="shared" si="10"/>
        <v>116400</v>
      </c>
      <c r="J184">
        <f t="shared" si="11"/>
        <v>2718</v>
      </c>
      <c r="K184">
        <f t="shared" si="12"/>
        <v>0</v>
      </c>
      <c r="L184">
        <f t="shared" si="13"/>
        <v>214722</v>
      </c>
      <c r="M184">
        <f t="shared" si="14"/>
        <v>0</v>
      </c>
    </row>
    <row r="185" spans="1:13" x14ac:dyDescent="0.3">
      <c r="A185" t="s">
        <v>9</v>
      </c>
      <c r="B185">
        <v>210</v>
      </c>
      <c r="C185">
        <v>374</v>
      </c>
      <c r="D185">
        <v>291</v>
      </c>
      <c r="E185" s="1">
        <v>138.57142857142861</v>
      </c>
      <c r="F185">
        <v>22</v>
      </c>
      <c r="G185">
        <v>2</v>
      </c>
      <c r="H185">
        <v>400</v>
      </c>
      <c r="I185">
        <f t="shared" si="10"/>
        <v>116400</v>
      </c>
      <c r="J185">
        <f t="shared" si="11"/>
        <v>2718</v>
      </c>
      <c r="K185">
        <f t="shared" si="12"/>
        <v>0</v>
      </c>
      <c r="L185">
        <f t="shared" si="13"/>
        <v>214722</v>
      </c>
      <c r="M185">
        <f t="shared" si="14"/>
        <v>0</v>
      </c>
    </row>
    <row r="186" spans="1:13" x14ac:dyDescent="0.3">
      <c r="A186" t="s">
        <v>7</v>
      </c>
      <c r="B186">
        <v>35</v>
      </c>
      <c r="C186">
        <v>50</v>
      </c>
      <c r="D186">
        <v>49</v>
      </c>
      <c r="E186" s="1">
        <v>140</v>
      </c>
      <c r="F186">
        <v>2</v>
      </c>
      <c r="G186">
        <v>2</v>
      </c>
      <c r="H186">
        <v>10694</v>
      </c>
      <c r="I186">
        <f t="shared" si="10"/>
        <v>524006</v>
      </c>
      <c r="J186">
        <f t="shared" si="11"/>
        <v>13012</v>
      </c>
      <c r="K186">
        <f t="shared" si="12"/>
        <v>8376</v>
      </c>
      <c r="L186">
        <f t="shared" si="13"/>
        <v>1027948</v>
      </c>
      <c r="M186">
        <f t="shared" si="14"/>
        <v>661704</v>
      </c>
    </row>
    <row r="187" spans="1:13" x14ac:dyDescent="0.3">
      <c r="A187" t="s">
        <v>8</v>
      </c>
      <c r="B187">
        <v>200</v>
      </c>
      <c r="C187">
        <v>365</v>
      </c>
      <c r="D187">
        <v>283</v>
      </c>
      <c r="E187" s="1">
        <v>141.5</v>
      </c>
      <c r="F187">
        <v>22</v>
      </c>
      <c r="G187">
        <v>2</v>
      </c>
      <c r="H187">
        <v>498</v>
      </c>
      <c r="I187">
        <f t="shared" si="10"/>
        <v>140934</v>
      </c>
      <c r="J187">
        <f t="shared" si="11"/>
        <v>2816</v>
      </c>
      <c r="K187">
        <f t="shared" si="12"/>
        <v>0</v>
      </c>
      <c r="L187">
        <f t="shared" si="13"/>
        <v>222464</v>
      </c>
      <c r="M187">
        <f t="shared" si="14"/>
        <v>0</v>
      </c>
    </row>
    <row r="188" spans="1:13" x14ac:dyDescent="0.3">
      <c r="A188" t="s">
        <v>8</v>
      </c>
      <c r="B188">
        <v>200</v>
      </c>
      <c r="C188">
        <v>375</v>
      </c>
      <c r="D188">
        <v>283</v>
      </c>
      <c r="E188" s="1">
        <v>141.5</v>
      </c>
      <c r="F188">
        <v>25</v>
      </c>
      <c r="G188">
        <v>2</v>
      </c>
      <c r="H188">
        <v>354</v>
      </c>
      <c r="I188">
        <f t="shared" si="10"/>
        <v>100182</v>
      </c>
      <c r="J188">
        <f t="shared" si="11"/>
        <v>2672</v>
      </c>
      <c r="K188">
        <f t="shared" si="12"/>
        <v>0</v>
      </c>
      <c r="L188">
        <f t="shared" si="13"/>
        <v>211088</v>
      </c>
      <c r="M188">
        <f t="shared" si="14"/>
        <v>0</v>
      </c>
    </row>
    <row r="189" spans="1:13" x14ac:dyDescent="0.3">
      <c r="A189" t="s">
        <v>8</v>
      </c>
      <c r="B189">
        <v>200</v>
      </c>
      <c r="C189">
        <v>375</v>
      </c>
      <c r="D189">
        <v>283</v>
      </c>
      <c r="E189" s="1">
        <v>141.5</v>
      </c>
      <c r="F189">
        <v>25</v>
      </c>
      <c r="G189">
        <v>2</v>
      </c>
      <c r="H189">
        <v>354</v>
      </c>
      <c r="I189">
        <f t="shared" si="10"/>
        <v>100182</v>
      </c>
      <c r="J189">
        <f t="shared" si="11"/>
        <v>2672</v>
      </c>
      <c r="K189">
        <f t="shared" si="12"/>
        <v>0</v>
      </c>
      <c r="L189">
        <f t="shared" si="13"/>
        <v>211088</v>
      </c>
      <c r="M189">
        <f t="shared" si="14"/>
        <v>0</v>
      </c>
    </row>
    <row r="190" spans="1:13" x14ac:dyDescent="0.3">
      <c r="A190" t="s">
        <v>9</v>
      </c>
      <c r="B190">
        <v>210</v>
      </c>
      <c r="C190">
        <v>374</v>
      </c>
      <c r="D190">
        <v>299</v>
      </c>
      <c r="E190" s="1">
        <v>142.38095238095241</v>
      </c>
      <c r="F190">
        <v>20</v>
      </c>
      <c r="G190">
        <v>2</v>
      </c>
      <c r="H190">
        <v>400</v>
      </c>
      <c r="I190">
        <f t="shared" si="10"/>
        <v>119600</v>
      </c>
      <c r="J190">
        <f t="shared" si="11"/>
        <v>2718</v>
      </c>
      <c r="K190">
        <f t="shared" si="12"/>
        <v>0</v>
      </c>
      <c r="L190">
        <f t="shared" si="13"/>
        <v>214722</v>
      </c>
      <c r="M190">
        <f t="shared" si="14"/>
        <v>0</v>
      </c>
    </row>
    <row r="191" spans="1:13" x14ac:dyDescent="0.3">
      <c r="A191" t="s">
        <v>7</v>
      </c>
      <c r="B191">
        <v>21</v>
      </c>
      <c r="C191">
        <v>50</v>
      </c>
      <c r="D191">
        <v>30</v>
      </c>
      <c r="E191" s="1">
        <v>142.85714285714289</v>
      </c>
      <c r="F191">
        <v>40</v>
      </c>
      <c r="G191">
        <v>2</v>
      </c>
      <c r="H191">
        <v>14133</v>
      </c>
      <c r="I191">
        <f t="shared" si="10"/>
        <v>423990</v>
      </c>
      <c r="J191">
        <f t="shared" si="11"/>
        <v>16451</v>
      </c>
      <c r="K191">
        <f t="shared" si="12"/>
        <v>11815</v>
      </c>
      <c r="L191">
        <f t="shared" si="13"/>
        <v>1299629</v>
      </c>
      <c r="M191">
        <f t="shared" si="14"/>
        <v>933385</v>
      </c>
    </row>
    <row r="192" spans="1:13" x14ac:dyDescent="0.3">
      <c r="A192" t="s">
        <v>7</v>
      </c>
      <c r="B192">
        <v>21</v>
      </c>
      <c r="C192">
        <v>50</v>
      </c>
      <c r="D192">
        <v>30</v>
      </c>
      <c r="E192" s="1">
        <v>142.85714285714289</v>
      </c>
      <c r="F192">
        <v>40</v>
      </c>
      <c r="G192">
        <v>2</v>
      </c>
      <c r="H192">
        <v>14133</v>
      </c>
      <c r="I192">
        <f t="shared" si="10"/>
        <v>423990</v>
      </c>
      <c r="J192">
        <f t="shared" si="11"/>
        <v>16451</v>
      </c>
      <c r="K192">
        <f t="shared" si="12"/>
        <v>11815</v>
      </c>
      <c r="L192">
        <f t="shared" si="13"/>
        <v>1299629</v>
      </c>
      <c r="M192">
        <f t="shared" si="14"/>
        <v>933385</v>
      </c>
    </row>
    <row r="193" spans="1:13" x14ac:dyDescent="0.3">
      <c r="A193" t="s">
        <v>8</v>
      </c>
      <c r="B193">
        <v>200</v>
      </c>
      <c r="C193">
        <v>355</v>
      </c>
      <c r="D193">
        <v>286</v>
      </c>
      <c r="E193" s="1">
        <v>143</v>
      </c>
      <c r="F193">
        <v>19</v>
      </c>
      <c r="G193">
        <v>2</v>
      </c>
      <c r="H193">
        <v>2669</v>
      </c>
      <c r="I193">
        <f t="shared" si="10"/>
        <v>763334</v>
      </c>
      <c r="J193">
        <f t="shared" si="11"/>
        <v>4987</v>
      </c>
      <c r="K193">
        <f t="shared" si="12"/>
        <v>351</v>
      </c>
      <c r="L193">
        <f t="shared" si="13"/>
        <v>393973</v>
      </c>
      <c r="M193">
        <f t="shared" si="14"/>
        <v>27729</v>
      </c>
    </row>
    <row r="194" spans="1:13" x14ac:dyDescent="0.3">
      <c r="A194" t="s">
        <v>7</v>
      </c>
      <c r="B194">
        <v>30</v>
      </c>
      <c r="C194">
        <v>50</v>
      </c>
      <c r="D194">
        <v>43</v>
      </c>
      <c r="E194" s="1">
        <v>143.33333333333329</v>
      </c>
      <c r="F194">
        <v>14</v>
      </c>
      <c r="G194">
        <v>2</v>
      </c>
      <c r="H194">
        <v>8769</v>
      </c>
      <c r="I194">
        <f t="shared" si="10"/>
        <v>377067</v>
      </c>
      <c r="J194">
        <f t="shared" si="11"/>
        <v>11087</v>
      </c>
      <c r="K194">
        <f t="shared" si="12"/>
        <v>6451</v>
      </c>
      <c r="L194">
        <f t="shared" si="13"/>
        <v>875873</v>
      </c>
      <c r="M194">
        <f t="shared" si="14"/>
        <v>509629</v>
      </c>
    </row>
    <row r="195" spans="1:13" x14ac:dyDescent="0.3">
      <c r="A195" t="s">
        <v>7</v>
      </c>
      <c r="B195">
        <v>200</v>
      </c>
      <c r="C195">
        <v>335</v>
      </c>
      <c r="D195">
        <v>289</v>
      </c>
      <c r="E195" s="1">
        <v>144.5</v>
      </c>
      <c r="F195">
        <v>14</v>
      </c>
      <c r="G195">
        <v>2</v>
      </c>
      <c r="H195">
        <v>520</v>
      </c>
      <c r="I195">
        <f t="shared" ref="I195:I258" si="15">D195*H195</f>
        <v>150280</v>
      </c>
      <c r="J195">
        <f t="shared" ref="J195:J258" si="16">H195+2318</f>
        <v>2838</v>
      </c>
      <c r="K195">
        <f t="shared" ref="K195:K258" si="17">IF(H195-2318&lt;=0,0,H195-2318)</f>
        <v>0</v>
      </c>
      <c r="L195">
        <f t="shared" ref="L195:L258" si="18">J195*$D$2</f>
        <v>224202</v>
      </c>
      <c r="M195">
        <f t="shared" ref="M195:M258" si="19">K195*$D$2</f>
        <v>0</v>
      </c>
    </row>
    <row r="196" spans="1:13" x14ac:dyDescent="0.3">
      <c r="A196" t="s">
        <v>7</v>
      </c>
      <c r="B196">
        <v>200</v>
      </c>
      <c r="C196">
        <v>349</v>
      </c>
      <c r="D196">
        <v>289</v>
      </c>
      <c r="E196" s="1">
        <v>144.5</v>
      </c>
      <c r="F196">
        <v>17</v>
      </c>
      <c r="G196">
        <v>2</v>
      </c>
      <c r="H196">
        <v>293</v>
      </c>
      <c r="I196">
        <f t="shared" si="15"/>
        <v>84677</v>
      </c>
      <c r="J196">
        <f t="shared" si="16"/>
        <v>2611</v>
      </c>
      <c r="K196">
        <f t="shared" si="17"/>
        <v>0</v>
      </c>
      <c r="L196">
        <f t="shared" si="18"/>
        <v>206269</v>
      </c>
      <c r="M196">
        <f t="shared" si="19"/>
        <v>0</v>
      </c>
    </row>
    <row r="197" spans="1:13" x14ac:dyDescent="0.3">
      <c r="A197" t="s">
        <v>7</v>
      </c>
      <c r="B197">
        <v>28</v>
      </c>
      <c r="C197">
        <v>50</v>
      </c>
      <c r="D197">
        <v>41</v>
      </c>
      <c r="E197" s="1">
        <v>146.42857142857139</v>
      </c>
      <c r="F197">
        <v>18</v>
      </c>
      <c r="G197">
        <v>2</v>
      </c>
      <c r="H197">
        <v>1249</v>
      </c>
      <c r="I197">
        <f t="shared" si="15"/>
        <v>51209</v>
      </c>
      <c r="J197">
        <f t="shared" si="16"/>
        <v>3567</v>
      </c>
      <c r="K197">
        <f t="shared" si="17"/>
        <v>0</v>
      </c>
      <c r="L197">
        <f t="shared" si="18"/>
        <v>281793</v>
      </c>
      <c r="M197">
        <f t="shared" si="19"/>
        <v>0</v>
      </c>
    </row>
    <row r="198" spans="1:13" x14ac:dyDescent="0.3">
      <c r="A198" t="s">
        <v>7</v>
      </c>
      <c r="B198">
        <v>28</v>
      </c>
      <c r="C198">
        <v>50</v>
      </c>
      <c r="D198">
        <v>41</v>
      </c>
      <c r="E198" s="1">
        <v>146.42857142857139</v>
      </c>
      <c r="F198">
        <v>18</v>
      </c>
      <c r="G198">
        <v>2</v>
      </c>
      <c r="H198">
        <v>1249</v>
      </c>
      <c r="I198">
        <f t="shared" si="15"/>
        <v>51209</v>
      </c>
      <c r="J198">
        <f t="shared" si="16"/>
        <v>3567</v>
      </c>
      <c r="K198">
        <f t="shared" si="17"/>
        <v>0</v>
      </c>
      <c r="L198">
        <f t="shared" si="18"/>
        <v>281793</v>
      </c>
      <c r="M198">
        <f t="shared" si="19"/>
        <v>0</v>
      </c>
    </row>
    <row r="199" spans="1:13" x14ac:dyDescent="0.3">
      <c r="A199" t="s">
        <v>8</v>
      </c>
      <c r="B199">
        <v>200</v>
      </c>
      <c r="C199">
        <v>400</v>
      </c>
      <c r="D199">
        <v>295</v>
      </c>
      <c r="E199" s="1">
        <v>147.5</v>
      </c>
      <c r="F199">
        <v>26</v>
      </c>
      <c r="G199">
        <v>2</v>
      </c>
      <c r="H199">
        <v>321</v>
      </c>
      <c r="I199">
        <f t="shared" si="15"/>
        <v>94695</v>
      </c>
      <c r="J199">
        <f t="shared" si="16"/>
        <v>2639</v>
      </c>
      <c r="K199">
        <f t="shared" si="17"/>
        <v>0</v>
      </c>
      <c r="L199">
        <f t="shared" si="18"/>
        <v>208481</v>
      </c>
      <c r="M199">
        <f t="shared" si="19"/>
        <v>0</v>
      </c>
    </row>
    <row r="200" spans="1:13" x14ac:dyDescent="0.3">
      <c r="A200" t="s">
        <v>8</v>
      </c>
      <c r="B200">
        <v>200</v>
      </c>
      <c r="C200">
        <v>400</v>
      </c>
      <c r="D200">
        <v>295</v>
      </c>
      <c r="E200" s="1">
        <v>147.5</v>
      </c>
      <c r="F200">
        <v>26</v>
      </c>
      <c r="G200">
        <v>2</v>
      </c>
      <c r="H200">
        <v>321</v>
      </c>
      <c r="I200">
        <f t="shared" si="15"/>
        <v>94695</v>
      </c>
      <c r="J200">
        <f t="shared" si="16"/>
        <v>2639</v>
      </c>
      <c r="K200">
        <f t="shared" si="17"/>
        <v>0</v>
      </c>
      <c r="L200">
        <f t="shared" si="18"/>
        <v>208481</v>
      </c>
      <c r="M200">
        <f t="shared" si="19"/>
        <v>0</v>
      </c>
    </row>
    <row r="201" spans="1:13" x14ac:dyDescent="0.3">
      <c r="A201" t="s">
        <v>8</v>
      </c>
      <c r="B201">
        <v>200</v>
      </c>
      <c r="C201">
        <v>395</v>
      </c>
      <c r="D201">
        <v>296</v>
      </c>
      <c r="E201" s="1">
        <v>148</v>
      </c>
      <c r="F201">
        <v>25</v>
      </c>
      <c r="G201">
        <v>2</v>
      </c>
      <c r="H201">
        <v>455</v>
      </c>
      <c r="I201">
        <f t="shared" si="15"/>
        <v>134680</v>
      </c>
      <c r="J201">
        <f t="shared" si="16"/>
        <v>2773</v>
      </c>
      <c r="K201">
        <f t="shared" si="17"/>
        <v>0</v>
      </c>
      <c r="L201">
        <f t="shared" si="18"/>
        <v>219067</v>
      </c>
      <c r="M201">
        <f t="shared" si="19"/>
        <v>0</v>
      </c>
    </row>
    <row r="202" spans="1:13" x14ac:dyDescent="0.3">
      <c r="A202" t="s">
        <v>8</v>
      </c>
      <c r="B202">
        <v>200</v>
      </c>
      <c r="C202">
        <v>370</v>
      </c>
      <c r="D202">
        <v>298</v>
      </c>
      <c r="E202" s="1">
        <v>149</v>
      </c>
      <c r="F202">
        <v>19</v>
      </c>
      <c r="G202">
        <v>2</v>
      </c>
      <c r="H202">
        <v>2706</v>
      </c>
      <c r="I202">
        <f t="shared" si="15"/>
        <v>806388</v>
      </c>
      <c r="J202">
        <f t="shared" si="16"/>
        <v>5024</v>
      </c>
      <c r="K202">
        <f t="shared" si="17"/>
        <v>388</v>
      </c>
      <c r="L202">
        <f t="shared" si="18"/>
        <v>396896</v>
      </c>
      <c r="M202">
        <f t="shared" si="19"/>
        <v>30652</v>
      </c>
    </row>
    <row r="203" spans="1:13" x14ac:dyDescent="0.3">
      <c r="A203" t="s">
        <v>7</v>
      </c>
      <c r="B203">
        <v>100</v>
      </c>
      <c r="C203">
        <v>199</v>
      </c>
      <c r="D203">
        <v>149</v>
      </c>
      <c r="E203" s="1">
        <v>149</v>
      </c>
      <c r="F203">
        <v>25</v>
      </c>
      <c r="G203">
        <v>2</v>
      </c>
      <c r="H203">
        <v>1563</v>
      </c>
      <c r="I203">
        <f t="shared" si="15"/>
        <v>232887</v>
      </c>
      <c r="J203">
        <f t="shared" si="16"/>
        <v>3881</v>
      </c>
      <c r="K203">
        <f t="shared" si="17"/>
        <v>0</v>
      </c>
      <c r="L203">
        <f t="shared" si="18"/>
        <v>306599</v>
      </c>
      <c r="M203">
        <f t="shared" si="19"/>
        <v>0</v>
      </c>
    </row>
    <row r="204" spans="1:13" x14ac:dyDescent="0.3">
      <c r="A204" t="s">
        <v>7</v>
      </c>
      <c r="B204">
        <v>100</v>
      </c>
      <c r="C204">
        <v>199</v>
      </c>
      <c r="D204">
        <v>149</v>
      </c>
      <c r="E204" s="1">
        <v>149</v>
      </c>
      <c r="F204">
        <v>25</v>
      </c>
      <c r="G204">
        <v>2</v>
      </c>
      <c r="H204">
        <v>1563</v>
      </c>
      <c r="I204">
        <f t="shared" si="15"/>
        <v>232887</v>
      </c>
      <c r="J204">
        <f t="shared" si="16"/>
        <v>3881</v>
      </c>
      <c r="K204">
        <f t="shared" si="17"/>
        <v>0</v>
      </c>
      <c r="L204">
        <f t="shared" si="18"/>
        <v>306599</v>
      </c>
      <c r="M204">
        <f t="shared" si="19"/>
        <v>0</v>
      </c>
    </row>
    <row r="205" spans="1:13" x14ac:dyDescent="0.3">
      <c r="A205" t="s">
        <v>8</v>
      </c>
      <c r="B205">
        <v>200</v>
      </c>
      <c r="C205">
        <v>395</v>
      </c>
      <c r="D205">
        <v>299</v>
      </c>
      <c r="E205" s="1">
        <v>149.5</v>
      </c>
      <c r="F205">
        <v>24</v>
      </c>
      <c r="G205">
        <v>2</v>
      </c>
      <c r="H205">
        <v>305</v>
      </c>
      <c r="I205">
        <f t="shared" si="15"/>
        <v>91195</v>
      </c>
      <c r="J205">
        <f t="shared" si="16"/>
        <v>2623</v>
      </c>
      <c r="K205">
        <f t="shared" si="17"/>
        <v>0</v>
      </c>
      <c r="L205">
        <f t="shared" si="18"/>
        <v>207217</v>
      </c>
      <c r="M205">
        <f t="shared" si="19"/>
        <v>0</v>
      </c>
    </row>
    <row r="206" spans="1:13" x14ac:dyDescent="0.3">
      <c r="A206" t="s">
        <v>7</v>
      </c>
      <c r="B206">
        <v>60</v>
      </c>
      <c r="C206">
        <v>120</v>
      </c>
      <c r="D206">
        <v>90</v>
      </c>
      <c r="E206" s="1">
        <v>150</v>
      </c>
      <c r="F206">
        <v>25</v>
      </c>
      <c r="G206">
        <v>2</v>
      </c>
      <c r="H206">
        <v>3635</v>
      </c>
      <c r="I206">
        <f t="shared" si="15"/>
        <v>327150</v>
      </c>
      <c r="J206">
        <f t="shared" si="16"/>
        <v>5953</v>
      </c>
      <c r="K206">
        <f t="shared" si="17"/>
        <v>1317</v>
      </c>
      <c r="L206">
        <f t="shared" si="18"/>
        <v>470287</v>
      </c>
      <c r="M206">
        <f t="shared" si="19"/>
        <v>104043</v>
      </c>
    </row>
    <row r="207" spans="1:13" x14ac:dyDescent="0.3">
      <c r="A207" t="s">
        <v>8</v>
      </c>
      <c r="B207">
        <v>500</v>
      </c>
      <c r="C207">
        <v>1299</v>
      </c>
      <c r="D207">
        <v>751</v>
      </c>
      <c r="E207" s="1">
        <v>150.19999999999999</v>
      </c>
      <c r="F207">
        <v>42</v>
      </c>
      <c r="G207">
        <v>0</v>
      </c>
      <c r="H207">
        <v>1237</v>
      </c>
      <c r="I207">
        <f t="shared" si="15"/>
        <v>928987</v>
      </c>
      <c r="J207">
        <f t="shared" si="16"/>
        <v>3555</v>
      </c>
      <c r="K207">
        <f t="shared" si="17"/>
        <v>0</v>
      </c>
      <c r="L207">
        <f t="shared" si="18"/>
        <v>280845</v>
      </c>
      <c r="M207">
        <f t="shared" si="19"/>
        <v>0</v>
      </c>
    </row>
    <row r="208" spans="1:13" x14ac:dyDescent="0.3">
      <c r="A208" t="s">
        <v>8</v>
      </c>
      <c r="B208">
        <v>200</v>
      </c>
      <c r="C208">
        <v>400</v>
      </c>
      <c r="D208">
        <v>301</v>
      </c>
      <c r="E208" s="1">
        <v>150.5</v>
      </c>
      <c r="F208">
        <v>25</v>
      </c>
      <c r="G208">
        <v>2</v>
      </c>
      <c r="H208">
        <v>439</v>
      </c>
      <c r="I208">
        <f t="shared" si="15"/>
        <v>132139</v>
      </c>
      <c r="J208">
        <f t="shared" si="16"/>
        <v>2757</v>
      </c>
      <c r="K208">
        <f t="shared" si="17"/>
        <v>0</v>
      </c>
      <c r="L208">
        <f t="shared" si="18"/>
        <v>217803</v>
      </c>
      <c r="M208">
        <f t="shared" si="19"/>
        <v>0</v>
      </c>
    </row>
    <row r="209" spans="1:13" x14ac:dyDescent="0.3">
      <c r="A209" t="s">
        <v>8</v>
      </c>
      <c r="B209">
        <v>200</v>
      </c>
      <c r="C209">
        <v>425</v>
      </c>
      <c r="D209">
        <v>301</v>
      </c>
      <c r="E209" s="1">
        <v>150.5</v>
      </c>
      <c r="F209">
        <v>29</v>
      </c>
      <c r="G209">
        <v>2</v>
      </c>
      <c r="H209">
        <v>3043</v>
      </c>
      <c r="I209">
        <f t="shared" si="15"/>
        <v>915943</v>
      </c>
      <c r="J209">
        <f t="shared" si="16"/>
        <v>5361</v>
      </c>
      <c r="K209">
        <f t="shared" si="17"/>
        <v>725</v>
      </c>
      <c r="L209">
        <f t="shared" si="18"/>
        <v>423519</v>
      </c>
      <c r="M209">
        <f t="shared" si="19"/>
        <v>57275</v>
      </c>
    </row>
    <row r="210" spans="1:13" x14ac:dyDescent="0.3">
      <c r="A210" t="s">
        <v>8</v>
      </c>
      <c r="B210">
        <v>160</v>
      </c>
      <c r="C210">
        <v>315</v>
      </c>
      <c r="D210">
        <v>247</v>
      </c>
      <c r="E210" s="1">
        <v>154.375</v>
      </c>
      <c r="F210">
        <v>22</v>
      </c>
      <c r="G210">
        <v>2</v>
      </c>
      <c r="H210">
        <v>0</v>
      </c>
      <c r="I210">
        <f t="shared" si="15"/>
        <v>0</v>
      </c>
      <c r="J210">
        <f t="shared" si="16"/>
        <v>2318</v>
      </c>
      <c r="K210">
        <f t="shared" si="17"/>
        <v>0</v>
      </c>
      <c r="L210">
        <f t="shared" si="18"/>
        <v>183122</v>
      </c>
      <c r="M210">
        <f t="shared" si="19"/>
        <v>0</v>
      </c>
    </row>
    <row r="211" spans="1:13" x14ac:dyDescent="0.3">
      <c r="A211" t="s">
        <v>10</v>
      </c>
      <c r="B211">
        <v>156</v>
      </c>
      <c r="C211">
        <v>270</v>
      </c>
      <c r="D211">
        <v>245</v>
      </c>
      <c r="E211" s="1">
        <v>157.05128205128199</v>
      </c>
      <c r="F211">
        <v>9</v>
      </c>
      <c r="G211">
        <v>2</v>
      </c>
      <c r="H211">
        <v>168</v>
      </c>
      <c r="I211">
        <f t="shared" si="15"/>
        <v>41160</v>
      </c>
      <c r="J211">
        <f t="shared" si="16"/>
        <v>2486</v>
      </c>
      <c r="K211">
        <f t="shared" si="17"/>
        <v>0</v>
      </c>
      <c r="L211">
        <f t="shared" si="18"/>
        <v>196394</v>
      </c>
      <c r="M211">
        <f t="shared" si="19"/>
        <v>0</v>
      </c>
    </row>
    <row r="212" spans="1:13" x14ac:dyDescent="0.3">
      <c r="A212" t="s">
        <v>10</v>
      </c>
      <c r="B212">
        <v>156</v>
      </c>
      <c r="C212">
        <v>270</v>
      </c>
      <c r="D212">
        <v>245</v>
      </c>
      <c r="E212" s="1">
        <v>157.05128205128199</v>
      </c>
      <c r="F212">
        <v>9</v>
      </c>
      <c r="G212">
        <v>2</v>
      </c>
      <c r="H212">
        <v>168</v>
      </c>
      <c r="I212">
        <f t="shared" si="15"/>
        <v>41160</v>
      </c>
      <c r="J212">
        <f t="shared" si="16"/>
        <v>2486</v>
      </c>
      <c r="K212">
        <f t="shared" si="17"/>
        <v>0</v>
      </c>
      <c r="L212">
        <f t="shared" si="18"/>
        <v>196394</v>
      </c>
      <c r="M212">
        <f t="shared" si="19"/>
        <v>0</v>
      </c>
    </row>
    <row r="213" spans="1:13" x14ac:dyDescent="0.3">
      <c r="A213" t="s">
        <v>10</v>
      </c>
      <c r="B213">
        <v>156</v>
      </c>
      <c r="C213">
        <v>270</v>
      </c>
      <c r="D213">
        <v>245</v>
      </c>
      <c r="E213" s="1">
        <v>157.05128205128199</v>
      </c>
      <c r="F213">
        <v>9</v>
      </c>
      <c r="G213">
        <v>2</v>
      </c>
      <c r="H213">
        <v>168</v>
      </c>
      <c r="I213">
        <f t="shared" si="15"/>
        <v>41160</v>
      </c>
      <c r="J213">
        <f t="shared" si="16"/>
        <v>2486</v>
      </c>
      <c r="K213">
        <f t="shared" si="17"/>
        <v>0</v>
      </c>
      <c r="L213">
        <f t="shared" si="18"/>
        <v>196394</v>
      </c>
      <c r="M213">
        <f t="shared" si="19"/>
        <v>0</v>
      </c>
    </row>
    <row r="214" spans="1:13" x14ac:dyDescent="0.3">
      <c r="A214" t="s">
        <v>8</v>
      </c>
      <c r="B214">
        <v>127</v>
      </c>
      <c r="C214">
        <v>259</v>
      </c>
      <c r="D214">
        <v>200</v>
      </c>
      <c r="E214" s="1">
        <v>157.4803149606299</v>
      </c>
      <c r="F214">
        <v>23</v>
      </c>
      <c r="G214">
        <v>2</v>
      </c>
      <c r="H214">
        <v>1068</v>
      </c>
      <c r="I214">
        <f t="shared" si="15"/>
        <v>213600</v>
      </c>
      <c r="J214">
        <f t="shared" si="16"/>
        <v>3386</v>
      </c>
      <c r="K214">
        <f t="shared" si="17"/>
        <v>0</v>
      </c>
      <c r="L214">
        <f t="shared" si="18"/>
        <v>267494</v>
      </c>
      <c r="M214">
        <f t="shared" si="19"/>
        <v>0</v>
      </c>
    </row>
    <row r="215" spans="1:13" x14ac:dyDescent="0.3">
      <c r="A215" t="s">
        <v>8</v>
      </c>
      <c r="B215">
        <v>200</v>
      </c>
      <c r="C215">
        <v>435</v>
      </c>
      <c r="D215">
        <v>317</v>
      </c>
      <c r="E215" s="1">
        <v>158.5</v>
      </c>
      <c r="F215">
        <v>27</v>
      </c>
      <c r="G215">
        <v>2</v>
      </c>
      <c r="H215">
        <v>1128</v>
      </c>
      <c r="I215">
        <f t="shared" si="15"/>
        <v>357576</v>
      </c>
      <c r="J215">
        <f t="shared" si="16"/>
        <v>3446</v>
      </c>
      <c r="K215">
        <f t="shared" si="17"/>
        <v>0</v>
      </c>
      <c r="L215">
        <f t="shared" si="18"/>
        <v>272234</v>
      </c>
      <c r="M215">
        <f t="shared" si="19"/>
        <v>0</v>
      </c>
    </row>
    <row r="216" spans="1:13" x14ac:dyDescent="0.3">
      <c r="A216" t="s">
        <v>8</v>
      </c>
      <c r="B216">
        <v>200</v>
      </c>
      <c r="C216">
        <v>465</v>
      </c>
      <c r="D216">
        <v>317</v>
      </c>
      <c r="E216" s="1">
        <v>158.5</v>
      </c>
      <c r="F216">
        <v>32</v>
      </c>
      <c r="G216">
        <v>2</v>
      </c>
      <c r="H216">
        <v>2951</v>
      </c>
      <c r="I216">
        <f t="shared" si="15"/>
        <v>935467</v>
      </c>
      <c r="J216">
        <f t="shared" si="16"/>
        <v>5269</v>
      </c>
      <c r="K216">
        <f t="shared" si="17"/>
        <v>633</v>
      </c>
      <c r="L216">
        <f t="shared" si="18"/>
        <v>416251</v>
      </c>
      <c r="M216">
        <f t="shared" si="19"/>
        <v>50007</v>
      </c>
    </row>
    <row r="217" spans="1:13" x14ac:dyDescent="0.3">
      <c r="A217" t="s">
        <v>8</v>
      </c>
      <c r="B217">
        <v>200</v>
      </c>
      <c r="C217">
        <v>375</v>
      </c>
      <c r="D217">
        <v>318</v>
      </c>
      <c r="E217" s="1">
        <v>159</v>
      </c>
      <c r="F217">
        <v>15</v>
      </c>
      <c r="G217">
        <v>2</v>
      </c>
      <c r="H217">
        <v>169</v>
      </c>
      <c r="I217">
        <f t="shared" si="15"/>
        <v>53742</v>
      </c>
      <c r="J217">
        <f t="shared" si="16"/>
        <v>2487</v>
      </c>
      <c r="K217">
        <f t="shared" si="17"/>
        <v>0</v>
      </c>
      <c r="L217">
        <f t="shared" si="18"/>
        <v>196473</v>
      </c>
      <c r="M217">
        <f t="shared" si="19"/>
        <v>0</v>
      </c>
    </row>
    <row r="218" spans="1:13" x14ac:dyDescent="0.3">
      <c r="A218" t="s">
        <v>7</v>
      </c>
      <c r="B218">
        <v>60</v>
      </c>
      <c r="C218">
        <v>120</v>
      </c>
      <c r="D218">
        <v>96</v>
      </c>
      <c r="E218" s="1">
        <v>160</v>
      </c>
      <c r="F218">
        <v>20</v>
      </c>
      <c r="G218">
        <v>2</v>
      </c>
      <c r="H218">
        <v>3207</v>
      </c>
      <c r="I218">
        <f t="shared" si="15"/>
        <v>307872</v>
      </c>
      <c r="J218">
        <f t="shared" si="16"/>
        <v>5525</v>
      </c>
      <c r="K218">
        <f t="shared" si="17"/>
        <v>889</v>
      </c>
      <c r="L218">
        <f t="shared" si="18"/>
        <v>436475</v>
      </c>
      <c r="M218">
        <f t="shared" si="19"/>
        <v>70231</v>
      </c>
    </row>
    <row r="219" spans="1:13" x14ac:dyDescent="0.3">
      <c r="A219" t="s">
        <v>7</v>
      </c>
      <c r="B219">
        <v>60</v>
      </c>
      <c r="C219">
        <v>120</v>
      </c>
      <c r="D219">
        <v>96</v>
      </c>
      <c r="E219" s="1">
        <v>160</v>
      </c>
      <c r="F219">
        <v>20</v>
      </c>
      <c r="G219">
        <v>2</v>
      </c>
      <c r="H219">
        <v>3207</v>
      </c>
      <c r="I219">
        <f t="shared" si="15"/>
        <v>307872</v>
      </c>
      <c r="J219">
        <f t="shared" si="16"/>
        <v>5525</v>
      </c>
      <c r="K219">
        <f t="shared" si="17"/>
        <v>889</v>
      </c>
      <c r="L219">
        <f t="shared" si="18"/>
        <v>436475</v>
      </c>
      <c r="M219">
        <f t="shared" si="19"/>
        <v>70231</v>
      </c>
    </row>
    <row r="220" spans="1:13" x14ac:dyDescent="0.3">
      <c r="A220" t="s">
        <v>7</v>
      </c>
      <c r="B220">
        <v>200</v>
      </c>
      <c r="C220">
        <v>400</v>
      </c>
      <c r="D220">
        <v>322</v>
      </c>
      <c r="E220" s="1">
        <v>161</v>
      </c>
      <c r="F220">
        <v>20</v>
      </c>
      <c r="G220">
        <v>2</v>
      </c>
      <c r="H220">
        <v>286</v>
      </c>
      <c r="I220">
        <f t="shared" si="15"/>
        <v>92092</v>
      </c>
      <c r="J220">
        <f t="shared" si="16"/>
        <v>2604</v>
      </c>
      <c r="K220">
        <f t="shared" si="17"/>
        <v>0</v>
      </c>
      <c r="L220">
        <f t="shared" si="18"/>
        <v>205716</v>
      </c>
      <c r="M220">
        <f t="shared" si="19"/>
        <v>0</v>
      </c>
    </row>
    <row r="221" spans="1:13" x14ac:dyDescent="0.3">
      <c r="A221" t="s">
        <v>7</v>
      </c>
      <c r="B221">
        <v>200</v>
      </c>
      <c r="C221">
        <v>400</v>
      </c>
      <c r="D221">
        <v>322</v>
      </c>
      <c r="E221" s="1">
        <v>161</v>
      </c>
      <c r="F221">
        <v>20</v>
      </c>
      <c r="G221">
        <v>2</v>
      </c>
      <c r="H221">
        <v>286</v>
      </c>
      <c r="I221">
        <f t="shared" si="15"/>
        <v>92092</v>
      </c>
      <c r="J221">
        <f t="shared" si="16"/>
        <v>2604</v>
      </c>
      <c r="K221">
        <f t="shared" si="17"/>
        <v>0</v>
      </c>
      <c r="L221">
        <f t="shared" si="18"/>
        <v>205716</v>
      </c>
      <c r="M221">
        <f t="shared" si="19"/>
        <v>0</v>
      </c>
    </row>
    <row r="222" spans="1:13" x14ac:dyDescent="0.3">
      <c r="A222" t="s">
        <v>10</v>
      </c>
      <c r="B222">
        <v>104</v>
      </c>
      <c r="C222">
        <v>180</v>
      </c>
      <c r="D222">
        <v>169</v>
      </c>
      <c r="E222" s="1">
        <v>162.5</v>
      </c>
      <c r="F222">
        <v>6</v>
      </c>
      <c r="G222">
        <v>2</v>
      </c>
      <c r="H222">
        <v>1275</v>
      </c>
      <c r="I222">
        <f t="shared" si="15"/>
        <v>215475</v>
      </c>
      <c r="J222">
        <f t="shared" si="16"/>
        <v>3593</v>
      </c>
      <c r="K222">
        <f t="shared" si="17"/>
        <v>0</v>
      </c>
      <c r="L222">
        <f t="shared" si="18"/>
        <v>283847</v>
      </c>
      <c r="M222">
        <f t="shared" si="19"/>
        <v>0</v>
      </c>
    </row>
    <row r="223" spans="1:13" x14ac:dyDescent="0.3">
      <c r="A223" t="s">
        <v>10</v>
      </c>
      <c r="B223">
        <v>104</v>
      </c>
      <c r="C223">
        <v>180</v>
      </c>
      <c r="D223">
        <v>169</v>
      </c>
      <c r="E223" s="1">
        <v>162.5</v>
      </c>
      <c r="F223">
        <v>6</v>
      </c>
      <c r="G223">
        <v>2</v>
      </c>
      <c r="H223">
        <v>1275</v>
      </c>
      <c r="I223">
        <f t="shared" si="15"/>
        <v>215475</v>
      </c>
      <c r="J223">
        <f t="shared" si="16"/>
        <v>3593</v>
      </c>
      <c r="K223">
        <f t="shared" si="17"/>
        <v>0</v>
      </c>
      <c r="L223">
        <f t="shared" si="18"/>
        <v>283847</v>
      </c>
      <c r="M223">
        <f t="shared" si="19"/>
        <v>0</v>
      </c>
    </row>
    <row r="224" spans="1:13" x14ac:dyDescent="0.3">
      <c r="A224" t="s">
        <v>10</v>
      </c>
      <c r="B224">
        <v>104</v>
      </c>
      <c r="C224">
        <v>180</v>
      </c>
      <c r="D224">
        <v>169</v>
      </c>
      <c r="E224" s="1">
        <v>162.5</v>
      </c>
      <c r="F224">
        <v>6</v>
      </c>
      <c r="G224">
        <v>2</v>
      </c>
      <c r="H224">
        <v>1275</v>
      </c>
      <c r="I224">
        <f t="shared" si="15"/>
        <v>215475</v>
      </c>
      <c r="J224">
        <f t="shared" si="16"/>
        <v>3593</v>
      </c>
      <c r="K224">
        <f t="shared" si="17"/>
        <v>0</v>
      </c>
      <c r="L224">
        <f t="shared" si="18"/>
        <v>283847</v>
      </c>
      <c r="M224">
        <f t="shared" si="19"/>
        <v>0</v>
      </c>
    </row>
    <row r="225" spans="1:13" x14ac:dyDescent="0.3">
      <c r="A225" t="s">
        <v>10</v>
      </c>
      <c r="B225">
        <v>52</v>
      </c>
      <c r="C225">
        <v>90</v>
      </c>
      <c r="D225">
        <v>85</v>
      </c>
      <c r="E225" s="1">
        <v>163.46153846153851</v>
      </c>
      <c r="F225">
        <v>6</v>
      </c>
      <c r="G225">
        <v>2</v>
      </c>
      <c r="H225">
        <v>3107</v>
      </c>
      <c r="I225">
        <f t="shared" si="15"/>
        <v>264095</v>
      </c>
      <c r="J225">
        <f t="shared" si="16"/>
        <v>5425</v>
      </c>
      <c r="K225">
        <f t="shared" si="17"/>
        <v>789</v>
      </c>
      <c r="L225">
        <f t="shared" si="18"/>
        <v>428575</v>
      </c>
      <c r="M225">
        <f t="shared" si="19"/>
        <v>62331</v>
      </c>
    </row>
    <row r="226" spans="1:13" x14ac:dyDescent="0.3">
      <c r="A226" t="s">
        <v>10</v>
      </c>
      <c r="B226">
        <v>52</v>
      </c>
      <c r="C226">
        <v>90</v>
      </c>
      <c r="D226">
        <v>85</v>
      </c>
      <c r="E226" s="1">
        <v>163.46153846153851</v>
      </c>
      <c r="F226">
        <v>6</v>
      </c>
      <c r="G226">
        <v>2</v>
      </c>
      <c r="H226">
        <v>3107</v>
      </c>
      <c r="I226">
        <f t="shared" si="15"/>
        <v>264095</v>
      </c>
      <c r="J226">
        <f t="shared" si="16"/>
        <v>5425</v>
      </c>
      <c r="K226">
        <f t="shared" si="17"/>
        <v>789</v>
      </c>
      <c r="L226">
        <f t="shared" si="18"/>
        <v>428575</v>
      </c>
      <c r="M226">
        <f t="shared" si="19"/>
        <v>62331</v>
      </c>
    </row>
    <row r="227" spans="1:13" x14ac:dyDescent="0.3">
      <c r="A227" t="s">
        <v>7</v>
      </c>
      <c r="B227">
        <v>200</v>
      </c>
      <c r="C227">
        <v>400</v>
      </c>
      <c r="D227">
        <v>329</v>
      </c>
      <c r="E227" s="1">
        <v>164.5</v>
      </c>
      <c r="F227">
        <v>18</v>
      </c>
      <c r="G227">
        <v>2</v>
      </c>
      <c r="H227">
        <v>2923</v>
      </c>
      <c r="I227">
        <f t="shared" si="15"/>
        <v>961667</v>
      </c>
      <c r="J227">
        <f t="shared" si="16"/>
        <v>5241</v>
      </c>
      <c r="K227">
        <f t="shared" si="17"/>
        <v>605</v>
      </c>
      <c r="L227">
        <f t="shared" si="18"/>
        <v>414039</v>
      </c>
      <c r="M227">
        <f t="shared" si="19"/>
        <v>47795</v>
      </c>
    </row>
    <row r="228" spans="1:13" x14ac:dyDescent="0.3">
      <c r="A228" t="s">
        <v>7</v>
      </c>
      <c r="B228">
        <v>200</v>
      </c>
      <c r="C228">
        <v>400</v>
      </c>
      <c r="D228">
        <v>329</v>
      </c>
      <c r="E228" s="1">
        <v>164.5</v>
      </c>
      <c r="F228">
        <v>18</v>
      </c>
      <c r="G228">
        <v>2</v>
      </c>
      <c r="H228">
        <v>2923</v>
      </c>
      <c r="I228">
        <f t="shared" si="15"/>
        <v>961667</v>
      </c>
      <c r="J228">
        <f t="shared" si="16"/>
        <v>5241</v>
      </c>
      <c r="K228">
        <f t="shared" si="17"/>
        <v>605</v>
      </c>
      <c r="L228">
        <f t="shared" si="18"/>
        <v>414039</v>
      </c>
      <c r="M228">
        <f t="shared" si="19"/>
        <v>47795</v>
      </c>
    </row>
    <row r="229" spans="1:13" x14ac:dyDescent="0.3">
      <c r="A229" t="s">
        <v>7</v>
      </c>
      <c r="B229">
        <v>200</v>
      </c>
      <c r="C229">
        <v>400</v>
      </c>
      <c r="D229">
        <v>329</v>
      </c>
      <c r="E229" s="1">
        <v>164.5</v>
      </c>
      <c r="F229">
        <v>18</v>
      </c>
      <c r="G229">
        <v>2</v>
      </c>
      <c r="H229">
        <v>2923</v>
      </c>
      <c r="I229">
        <f t="shared" si="15"/>
        <v>961667</v>
      </c>
      <c r="J229">
        <f t="shared" si="16"/>
        <v>5241</v>
      </c>
      <c r="K229">
        <f t="shared" si="17"/>
        <v>605</v>
      </c>
      <c r="L229">
        <f t="shared" si="18"/>
        <v>414039</v>
      </c>
      <c r="M229">
        <f t="shared" si="19"/>
        <v>47795</v>
      </c>
    </row>
    <row r="230" spans="1:13" x14ac:dyDescent="0.3">
      <c r="A230" t="s">
        <v>7</v>
      </c>
      <c r="B230">
        <v>200</v>
      </c>
      <c r="C230">
        <v>400</v>
      </c>
      <c r="D230">
        <v>329</v>
      </c>
      <c r="E230" s="1">
        <v>164.5</v>
      </c>
      <c r="F230">
        <v>18</v>
      </c>
      <c r="G230">
        <v>2</v>
      </c>
      <c r="H230">
        <v>2923</v>
      </c>
      <c r="I230">
        <f t="shared" si="15"/>
        <v>961667</v>
      </c>
      <c r="J230">
        <f t="shared" si="16"/>
        <v>5241</v>
      </c>
      <c r="K230">
        <f t="shared" si="17"/>
        <v>605</v>
      </c>
      <c r="L230">
        <f t="shared" si="18"/>
        <v>414039</v>
      </c>
      <c r="M230">
        <f t="shared" si="19"/>
        <v>47795</v>
      </c>
    </row>
    <row r="231" spans="1:13" x14ac:dyDescent="0.3">
      <c r="A231" t="s">
        <v>7</v>
      </c>
      <c r="B231">
        <v>60</v>
      </c>
      <c r="C231">
        <v>120</v>
      </c>
      <c r="D231">
        <v>99</v>
      </c>
      <c r="E231" s="1">
        <v>165</v>
      </c>
      <c r="F231">
        <v>18</v>
      </c>
      <c r="G231">
        <v>2</v>
      </c>
      <c r="H231">
        <v>4944</v>
      </c>
      <c r="I231">
        <f t="shared" si="15"/>
        <v>489456</v>
      </c>
      <c r="J231">
        <f t="shared" si="16"/>
        <v>7262</v>
      </c>
      <c r="K231">
        <f t="shared" si="17"/>
        <v>2626</v>
      </c>
      <c r="L231">
        <f t="shared" si="18"/>
        <v>573698</v>
      </c>
      <c r="M231">
        <f t="shared" si="19"/>
        <v>207454</v>
      </c>
    </row>
    <row r="232" spans="1:13" x14ac:dyDescent="0.3">
      <c r="A232" t="s">
        <v>8</v>
      </c>
      <c r="B232">
        <v>160</v>
      </c>
      <c r="C232">
        <v>345</v>
      </c>
      <c r="D232">
        <v>264</v>
      </c>
      <c r="E232" s="1">
        <v>165</v>
      </c>
      <c r="F232">
        <v>23</v>
      </c>
      <c r="G232">
        <v>2</v>
      </c>
      <c r="H232">
        <v>831</v>
      </c>
      <c r="I232">
        <f t="shared" si="15"/>
        <v>219384</v>
      </c>
      <c r="J232">
        <f t="shared" si="16"/>
        <v>3149</v>
      </c>
      <c r="K232">
        <f t="shared" si="17"/>
        <v>0</v>
      </c>
      <c r="L232">
        <f t="shared" si="18"/>
        <v>248771</v>
      </c>
      <c r="M232">
        <f t="shared" si="19"/>
        <v>0</v>
      </c>
    </row>
    <row r="233" spans="1:13" x14ac:dyDescent="0.3">
      <c r="A233" t="s">
        <v>7</v>
      </c>
      <c r="B233">
        <v>200</v>
      </c>
      <c r="C233">
        <v>400</v>
      </c>
      <c r="D233">
        <v>332</v>
      </c>
      <c r="E233" s="1">
        <v>166</v>
      </c>
      <c r="F233">
        <v>17</v>
      </c>
      <c r="G233">
        <v>2</v>
      </c>
      <c r="H233">
        <v>270</v>
      </c>
      <c r="I233">
        <f t="shared" si="15"/>
        <v>89640</v>
      </c>
      <c r="J233">
        <f t="shared" si="16"/>
        <v>2588</v>
      </c>
      <c r="K233">
        <f t="shared" si="17"/>
        <v>0</v>
      </c>
      <c r="L233">
        <f t="shared" si="18"/>
        <v>204452</v>
      </c>
      <c r="M233">
        <f t="shared" si="19"/>
        <v>0</v>
      </c>
    </row>
    <row r="234" spans="1:13" x14ac:dyDescent="0.3">
      <c r="A234" t="s">
        <v>7</v>
      </c>
      <c r="B234">
        <v>200</v>
      </c>
      <c r="C234">
        <v>400</v>
      </c>
      <c r="D234">
        <v>332</v>
      </c>
      <c r="E234" s="1">
        <v>166</v>
      </c>
      <c r="F234">
        <v>17</v>
      </c>
      <c r="G234">
        <v>2</v>
      </c>
      <c r="H234">
        <v>270</v>
      </c>
      <c r="I234">
        <f t="shared" si="15"/>
        <v>89640</v>
      </c>
      <c r="J234">
        <f t="shared" si="16"/>
        <v>2588</v>
      </c>
      <c r="K234">
        <f t="shared" si="17"/>
        <v>0</v>
      </c>
      <c r="L234">
        <f t="shared" si="18"/>
        <v>204452</v>
      </c>
      <c r="M234">
        <f t="shared" si="19"/>
        <v>0</v>
      </c>
    </row>
    <row r="235" spans="1:13" x14ac:dyDescent="0.3">
      <c r="A235" t="s">
        <v>8</v>
      </c>
      <c r="B235">
        <v>400</v>
      </c>
      <c r="C235">
        <v>825</v>
      </c>
      <c r="D235">
        <v>665</v>
      </c>
      <c r="E235" s="1">
        <v>166.25</v>
      </c>
      <c r="F235">
        <v>31</v>
      </c>
      <c r="G235">
        <v>0</v>
      </c>
      <c r="H235">
        <v>4033</v>
      </c>
      <c r="I235">
        <f t="shared" si="15"/>
        <v>2681945</v>
      </c>
      <c r="J235">
        <f t="shared" si="16"/>
        <v>6351</v>
      </c>
      <c r="K235">
        <f t="shared" si="17"/>
        <v>1715</v>
      </c>
      <c r="L235">
        <f t="shared" si="18"/>
        <v>501729</v>
      </c>
      <c r="M235">
        <f t="shared" si="19"/>
        <v>135485</v>
      </c>
    </row>
    <row r="236" spans="1:13" x14ac:dyDescent="0.3">
      <c r="A236" t="s">
        <v>8</v>
      </c>
      <c r="B236">
        <v>400</v>
      </c>
      <c r="C236">
        <v>825</v>
      </c>
      <c r="D236">
        <v>665</v>
      </c>
      <c r="E236" s="1">
        <v>166.25</v>
      </c>
      <c r="F236">
        <v>31</v>
      </c>
      <c r="G236">
        <v>0</v>
      </c>
      <c r="H236">
        <v>4033</v>
      </c>
      <c r="I236">
        <f t="shared" si="15"/>
        <v>2681945</v>
      </c>
      <c r="J236">
        <f t="shared" si="16"/>
        <v>6351</v>
      </c>
      <c r="K236">
        <f t="shared" si="17"/>
        <v>1715</v>
      </c>
      <c r="L236">
        <f t="shared" si="18"/>
        <v>501729</v>
      </c>
      <c r="M236">
        <f t="shared" si="19"/>
        <v>135485</v>
      </c>
    </row>
    <row r="237" spans="1:13" x14ac:dyDescent="0.3">
      <c r="A237" t="s">
        <v>8</v>
      </c>
      <c r="B237">
        <v>60</v>
      </c>
      <c r="C237">
        <v>110</v>
      </c>
      <c r="D237">
        <v>100</v>
      </c>
      <c r="E237" s="1">
        <v>166.66666666666671</v>
      </c>
      <c r="F237">
        <v>9</v>
      </c>
      <c r="G237">
        <v>2</v>
      </c>
      <c r="H237">
        <v>4031</v>
      </c>
      <c r="I237">
        <f t="shared" si="15"/>
        <v>403100</v>
      </c>
      <c r="J237">
        <f t="shared" si="16"/>
        <v>6349</v>
      </c>
      <c r="K237">
        <f t="shared" si="17"/>
        <v>1713</v>
      </c>
      <c r="L237">
        <f t="shared" si="18"/>
        <v>501571</v>
      </c>
      <c r="M237">
        <f t="shared" si="19"/>
        <v>135327</v>
      </c>
    </row>
    <row r="238" spans="1:13" x14ac:dyDescent="0.3">
      <c r="A238" t="s">
        <v>8</v>
      </c>
      <c r="B238">
        <v>127</v>
      </c>
      <c r="C238">
        <v>275</v>
      </c>
      <c r="D238">
        <v>212</v>
      </c>
      <c r="E238" s="1">
        <v>166.9291338582677</v>
      </c>
      <c r="F238">
        <v>23</v>
      </c>
      <c r="G238">
        <v>2</v>
      </c>
      <c r="H238">
        <v>0</v>
      </c>
      <c r="I238">
        <f t="shared" si="15"/>
        <v>0</v>
      </c>
      <c r="J238">
        <f t="shared" si="16"/>
        <v>2318</v>
      </c>
      <c r="K238">
        <f t="shared" si="17"/>
        <v>0</v>
      </c>
      <c r="L238">
        <f t="shared" si="18"/>
        <v>183122</v>
      </c>
      <c r="M238">
        <f t="shared" si="19"/>
        <v>0</v>
      </c>
    </row>
    <row r="239" spans="1:13" x14ac:dyDescent="0.3">
      <c r="A239" t="s">
        <v>7</v>
      </c>
      <c r="B239">
        <v>40</v>
      </c>
      <c r="C239">
        <v>80</v>
      </c>
      <c r="D239">
        <v>67</v>
      </c>
      <c r="E239" s="1">
        <v>167.5</v>
      </c>
      <c r="F239">
        <v>16</v>
      </c>
      <c r="G239">
        <v>2</v>
      </c>
      <c r="H239">
        <v>864</v>
      </c>
      <c r="I239">
        <f t="shared" si="15"/>
        <v>57888</v>
      </c>
      <c r="J239">
        <f t="shared" si="16"/>
        <v>3182</v>
      </c>
      <c r="K239">
        <f t="shared" si="17"/>
        <v>0</v>
      </c>
      <c r="L239">
        <f t="shared" si="18"/>
        <v>251378</v>
      </c>
      <c r="M239">
        <f t="shared" si="19"/>
        <v>0</v>
      </c>
    </row>
    <row r="240" spans="1:13" x14ac:dyDescent="0.3">
      <c r="A240" t="s">
        <v>9</v>
      </c>
      <c r="B240">
        <v>200</v>
      </c>
      <c r="C240">
        <v>394</v>
      </c>
      <c r="D240">
        <v>335</v>
      </c>
      <c r="E240" s="1">
        <v>167.5</v>
      </c>
      <c r="F240">
        <v>14</v>
      </c>
      <c r="G240">
        <v>2</v>
      </c>
      <c r="H240">
        <v>106</v>
      </c>
      <c r="I240">
        <f t="shared" si="15"/>
        <v>35510</v>
      </c>
      <c r="J240">
        <f t="shared" si="16"/>
        <v>2424</v>
      </c>
      <c r="K240">
        <f t="shared" si="17"/>
        <v>0</v>
      </c>
      <c r="L240">
        <f t="shared" si="18"/>
        <v>191496</v>
      </c>
      <c r="M240">
        <f t="shared" si="19"/>
        <v>0</v>
      </c>
    </row>
    <row r="241" spans="1:13" x14ac:dyDescent="0.3">
      <c r="A241" t="s">
        <v>9</v>
      </c>
      <c r="B241">
        <v>200</v>
      </c>
      <c r="C241">
        <v>394</v>
      </c>
      <c r="D241">
        <v>335</v>
      </c>
      <c r="E241" s="1">
        <v>167.5</v>
      </c>
      <c r="F241">
        <v>14</v>
      </c>
      <c r="G241">
        <v>2</v>
      </c>
      <c r="H241">
        <v>106</v>
      </c>
      <c r="I241">
        <f t="shared" si="15"/>
        <v>35510</v>
      </c>
      <c r="J241">
        <f t="shared" si="16"/>
        <v>2424</v>
      </c>
      <c r="K241">
        <f t="shared" si="17"/>
        <v>0</v>
      </c>
      <c r="L241">
        <f t="shared" si="18"/>
        <v>191496</v>
      </c>
      <c r="M241">
        <f t="shared" si="19"/>
        <v>0</v>
      </c>
    </row>
    <row r="242" spans="1:13" x14ac:dyDescent="0.3">
      <c r="A242" t="s">
        <v>8</v>
      </c>
      <c r="B242">
        <v>252</v>
      </c>
      <c r="C242">
        <v>549</v>
      </c>
      <c r="D242">
        <v>423</v>
      </c>
      <c r="E242" s="1">
        <v>167.85714285714289</v>
      </c>
      <c r="F242">
        <v>23</v>
      </c>
      <c r="G242">
        <v>2</v>
      </c>
      <c r="H242">
        <v>1582</v>
      </c>
      <c r="I242">
        <f t="shared" si="15"/>
        <v>669186</v>
      </c>
      <c r="J242">
        <f t="shared" si="16"/>
        <v>3900</v>
      </c>
      <c r="K242">
        <f t="shared" si="17"/>
        <v>0</v>
      </c>
      <c r="L242">
        <f t="shared" si="18"/>
        <v>308100</v>
      </c>
      <c r="M242">
        <f t="shared" si="19"/>
        <v>0</v>
      </c>
    </row>
    <row r="243" spans="1:13" x14ac:dyDescent="0.3">
      <c r="A243" t="s">
        <v>8</v>
      </c>
      <c r="B243">
        <v>160</v>
      </c>
      <c r="C243">
        <v>345</v>
      </c>
      <c r="D243">
        <v>270</v>
      </c>
      <c r="E243" s="1">
        <v>168.75</v>
      </c>
      <c r="F243">
        <v>22</v>
      </c>
      <c r="G243">
        <v>2</v>
      </c>
      <c r="H243">
        <v>850</v>
      </c>
      <c r="I243">
        <f t="shared" si="15"/>
        <v>229500</v>
      </c>
      <c r="J243">
        <f t="shared" si="16"/>
        <v>3168</v>
      </c>
      <c r="K243">
        <f t="shared" si="17"/>
        <v>0</v>
      </c>
      <c r="L243">
        <f t="shared" si="18"/>
        <v>250272</v>
      </c>
      <c r="M243">
        <f t="shared" si="19"/>
        <v>0</v>
      </c>
    </row>
    <row r="244" spans="1:13" x14ac:dyDescent="0.3">
      <c r="A244" t="s">
        <v>7</v>
      </c>
      <c r="B244">
        <v>200</v>
      </c>
      <c r="C244">
        <v>400</v>
      </c>
      <c r="D244">
        <v>339</v>
      </c>
      <c r="E244" s="1">
        <v>169.5</v>
      </c>
      <c r="F244">
        <v>15</v>
      </c>
      <c r="G244">
        <v>2</v>
      </c>
      <c r="H244">
        <v>270</v>
      </c>
      <c r="I244">
        <f t="shared" si="15"/>
        <v>91530</v>
      </c>
      <c r="J244">
        <f t="shared" si="16"/>
        <v>2588</v>
      </c>
      <c r="K244">
        <f t="shared" si="17"/>
        <v>0</v>
      </c>
      <c r="L244">
        <f t="shared" si="18"/>
        <v>204452</v>
      </c>
      <c r="M244">
        <f t="shared" si="19"/>
        <v>0</v>
      </c>
    </row>
    <row r="245" spans="1:13" x14ac:dyDescent="0.3">
      <c r="A245" t="s">
        <v>7</v>
      </c>
      <c r="B245">
        <v>200</v>
      </c>
      <c r="C245">
        <v>400</v>
      </c>
      <c r="D245">
        <v>339</v>
      </c>
      <c r="E245" s="1">
        <v>169.5</v>
      </c>
      <c r="F245">
        <v>15</v>
      </c>
      <c r="G245">
        <v>2</v>
      </c>
      <c r="H245">
        <v>270</v>
      </c>
      <c r="I245">
        <f t="shared" si="15"/>
        <v>91530</v>
      </c>
      <c r="J245">
        <f t="shared" si="16"/>
        <v>2588</v>
      </c>
      <c r="K245">
        <f t="shared" si="17"/>
        <v>0</v>
      </c>
      <c r="L245">
        <f t="shared" si="18"/>
        <v>204452</v>
      </c>
      <c r="M245">
        <f t="shared" si="19"/>
        <v>0</v>
      </c>
    </row>
    <row r="246" spans="1:13" x14ac:dyDescent="0.3">
      <c r="A246" t="s">
        <v>7</v>
      </c>
      <c r="B246">
        <v>200</v>
      </c>
      <c r="C246">
        <v>400</v>
      </c>
      <c r="D246">
        <v>339</v>
      </c>
      <c r="E246" s="1">
        <v>169.5</v>
      </c>
      <c r="F246">
        <v>15</v>
      </c>
      <c r="G246">
        <v>2</v>
      </c>
      <c r="H246">
        <v>270</v>
      </c>
      <c r="I246">
        <f t="shared" si="15"/>
        <v>91530</v>
      </c>
      <c r="J246">
        <f t="shared" si="16"/>
        <v>2588</v>
      </c>
      <c r="K246">
        <f t="shared" si="17"/>
        <v>0</v>
      </c>
      <c r="L246">
        <f t="shared" si="18"/>
        <v>204452</v>
      </c>
      <c r="M246">
        <f t="shared" si="19"/>
        <v>0</v>
      </c>
    </row>
    <row r="247" spans="1:13" x14ac:dyDescent="0.3">
      <c r="A247" t="s">
        <v>7</v>
      </c>
      <c r="B247">
        <v>20</v>
      </c>
      <c r="C247">
        <v>40</v>
      </c>
      <c r="D247">
        <v>34</v>
      </c>
      <c r="E247" s="1">
        <v>170</v>
      </c>
      <c r="F247">
        <v>15</v>
      </c>
      <c r="G247">
        <v>2</v>
      </c>
      <c r="H247">
        <v>9422</v>
      </c>
      <c r="I247">
        <f t="shared" si="15"/>
        <v>320348</v>
      </c>
      <c r="J247">
        <f t="shared" si="16"/>
        <v>11740</v>
      </c>
      <c r="K247">
        <f t="shared" si="17"/>
        <v>7104</v>
      </c>
      <c r="L247">
        <f t="shared" si="18"/>
        <v>927460</v>
      </c>
      <c r="M247">
        <f t="shared" si="19"/>
        <v>561216</v>
      </c>
    </row>
    <row r="248" spans="1:13" x14ac:dyDescent="0.3">
      <c r="A248" t="s">
        <v>7</v>
      </c>
      <c r="B248">
        <v>20</v>
      </c>
      <c r="C248">
        <v>40</v>
      </c>
      <c r="D248">
        <v>34</v>
      </c>
      <c r="E248" s="1">
        <v>170</v>
      </c>
      <c r="F248">
        <v>15</v>
      </c>
      <c r="G248">
        <v>2</v>
      </c>
      <c r="H248">
        <v>9422</v>
      </c>
      <c r="I248">
        <f t="shared" si="15"/>
        <v>320348</v>
      </c>
      <c r="J248">
        <f t="shared" si="16"/>
        <v>11740</v>
      </c>
      <c r="K248">
        <f t="shared" si="17"/>
        <v>7104</v>
      </c>
      <c r="L248">
        <f t="shared" si="18"/>
        <v>927460</v>
      </c>
      <c r="M248">
        <f t="shared" si="19"/>
        <v>561216</v>
      </c>
    </row>
    <row r="249" spans="1:13" x14ac:dyDescent="0.3">
      <c r="A249" t="s">
        <v>7</v>
      </c>
      <c r="B249">
        <v>200</v>
      </c>
      <c r="C249">
        <v>369</v>
      </c>
      <c r="D249">
        <v>347</v>
      </c>
      <c r="E249" s="1">
        <v>173.5</v>
      </c>
      <c r="F249">
        <v>6</v>
      </c>
      <c r="G249">
        <v>2</v>
      </c>
      <c r="H249">
        <v>1048</v>
      </c>
      <c r="I249">
        <f t="shared" si="15"/>
        <v>363656</v>
      </c>
      <c r="J249">
        <f t="shared" si="16"/>
        <v>3366</v>
      </c>
      <c r="K249">
        <f t="shared" si="17"/>
        <v>0</v>
      </c>
      <c r="L249">
        <f t="shared" si="18"/>
        <v>265914</v>
      </c>
      <c r="M249">
        <f t="shared" si="19"/>
        <v>0</v>
      </c>
    </row>
    <row r="250" spans="1:13" x14ac:dyDescent="0.3">
      <c r="A250" t="s">
        <v>7</v>
      </c>
      <c r="B250">
        <v>200</v>
      </c>
      <c r="C250">
        <v>699</v>
      </c>
      <c r="D250">
        <v>347</v>
      </c>
      <c r="E250" s="1">
        <v>173.5</v>
      </c>
      <c r="F250">
        <v>50</v>
      </c>
      <c r="G250">
        <v>2</v>
      </c>
      <c r="H250">
        <v>669</v>
      </c>
      <c r="I250">
        <f t="shared" si="15"/>
        <v>232143</v>
      </c>
      <c r="J250">
        <f t="shared" si="16"/>
        <v>2987</v>
      </c>
      <c r="K250">
        <f t="shared" si="17"/>
        <v>0</v>
      </c>
      <c r="L250">
        <f t="shared" si="18"/>
        <v>235973</v>
      </c>
      <c r="M250">
        <f t="shared" si="19"/>
        <v>0</v>
      </c>
    </row>
    <row r="251" spans="1:13" x14ac:dyDescent="0.3">
      <c r="A251" t="s">
        <v>7</v>
      </c>
      <c r="B251">
        <v>200</v>
      </c>
      <c r="C251">
        <v>400</v>
      </c>
      <c r="D251">
        <v>349</v>
      </c>
      <c r="E251" s="1">
        <v>174.5</v>
      </c>
      <c r="F251">
        <v>13</v>
      </c>
      <c r="G251">
        <v>2</v>
      </c>
      <c r="H251">
        <v>1080</v>
      </c>
      <c r="I251">
        <f t="shared" si="15"/>
        <v>376920</v>
      </c>
      <c r="J251">
        <f t="shared" si="16"/>
        <v>3398</v>
      </c>
      <c r="K251">
        <f t="shared" si="17"/>
        <v>0</v>
      </c>
      <c r="L251">
        <f t="shared" si="18"/>
        <v>268442</v>
      </c>
      <c r="M251">
        <f t="shared" si="19"/>
        <v>0</v>
      </c>
    </row>
    <row r="252" spans="1:13" x14ac:dyDescent="0.3">
      <c r="A252" t="s">
        <v>7</v>
      </c>
      <c r="B252">
        <v>28</v>
      </c>
      <c r="C252">
        <v>50</v>
      </c>
      <c r="D252">
        <v>49</v>
      </c>
      <c r="E252" s="1">
        <v>175</v>
      </c>
      <c r="F252">
        <v>2</v>
      </c>
      <c r="G252">
        <v>2</v>
      </c>
      <c r="H252">
        <v>87</v>
      </c>
      <c r="I252">
        <f t="shared" si="15"/>
        <v>4263</v>
      </c>
      <c r="J252">
        <f t="shared" si="16"/>
        <v>2405</v>
      </c>
      <c r="K252">
        <f t="shared" si="17"/>
        <v>0</v>
      </c>
      <c r="L252">
        <f t="shared" si="18"/>
        <v>189995</v>
      </c>
      <c r="M252">
        <f t="shared" si="19"/>
        <v>0</v>
      </c>
    </row>
    <row r="253" spans="1:13" x14ac:dyDescent="0.3">
      <c r="A253" t="s">
        <v>8</v>
      </c>
      <c r="B253">
        <v>200</v>
      </c>
      <c r="C253">
        <v>475</v>
      </c>
      <c r="D253">
        <v>351</v>
      </c>
      <c r="E253" s="1">
        <v>175.5</v>
      </c>
      <c r="F253">
        <v>26</v>
      </c>
      <c r="G253">
        <v>2</v>
      </c>
      <c r="H253">
        <v>235</v>
      </c>
      <c r="I253">
        <f t="shared" si="15"/>
        <v>82485</v>
      </c>
      <c r="J253">
        <f t="shared" si="16"/>
        <v>2553</v>
      </c>
      <c r="K253">
        <f t="shared" si="17"/>
        <v>0</v>
      </c>
      <c r="L253">
        <f t="shared" si="18"/>
        <v>201687</v>
      </c>
      <c r="M253">
        <f t="shared" si="19"/>
        <v>0</v>
      </c>
    </row>
    <row r="254" spans="1:13" x14ac:dyDescent="0.3">
      <c r="A254" t="s">
        <v>8</v>
      </c>
      <c r="B254">
        <v>200</v>
      </c>
      <c r="C254">
        <v>545</v>
      </c>
      <c r="D254">
        <v>352</v>
      </c>
      <c r="E254" s="1">
        <v>176</v>
      </c>
      <c r="F254">
        <v>35</v>
      </c>
      <c r="G254">
        <v>2</v>
      </c>
      <c r="H254">
        <v>3118</v>
      </c>
      <c r="I254">
        <f t="shared" si="15"/>
        <v>1097536</v>
      </c>
      <c r="J254">
        <f t="shared" si="16"/>
        <v>5436</v>
      </c>
      <c r="K254">
        <f t="shared" si="17"/>
        <v>800</v>
      </c>
      <c r="L254">
        <f t="shared" si="18"/>
        <v>429444</v>
      </c>
      <c r="M254">
        <f t="shared" si="19"/>
        <v>63200</v>
      </c>
    </row>
    <row r="255" spans="1:13" x14ac:dyDescent="0.3">
      <c r="A255" t="s">
        <v>8</v>
      </c>
      <c r="B255">
        <v>160</v>
      </c>
      <c r="C255">
        <v>345</v>
      </c>
      <c r="D255">
        <v>285</v>
      </c>
      <c r="E255" s="1">
        <v>178.125</v>
      </c>
      <c r="F255">
        <v>17</v>
      </c>
      <c r="G255">
        <v>2</v>
      </c>
      <c r="H255">
        <v>430</v>
      </c>
      <c r="I255">
        <f t="shared" si="15"/>
        <v>122550</v>
      </c>
      <c r="J255">
        <f t="shared" si="16"/>
        <v>2748</v>
      </c>
      <c r="K255">
        <f t="shared" si="17"/>
        <v>0</v>
      </c>
      <c r="L255">
        <f t="shared" si="18"/>
        <v>217092</v>
      </c>
      <c r="M255">
        <f t="shared" si="19"/>
        <v>0</v>
      </c>
    </row>
    <row r="256" spans="1:13" x14ac:dyDescent="0.3">
      <c r="A256" t="s">
        <v>8</v>
      </c>
      <c r="B256">
        <v>160</v>
      </c>
      <c r="C256">
        <v>345</v>
      </c>
      <c r="D256">
        <v>286</v>
      </c>
      <c r="E256" s="1">
        <v>178.75</v>
      </c>
      <c r="F256">
        <v>17</v>
      </c>
      <c r="G256">
        <v>2</v>
      </c>
      <c r="H256">
        <v>430</v>
      </c>
      <c r="I256">
        <f t="shared" si="15"/>
        <v>122980</v>
      </c>
      <c r="J256">
        <f t="shared" si="16"/>
        <v>2748</v>
      </c>
      <c r="K256">
        <f t="shared" si="17"/>
        <v>0</v>
      </c>
      <c r="L256">
        <f t="shared" si="18"/>
        <v>217092</v>
      </c>
      <c r="M256">
        <f t="shared" si="19"/>
        <v>0</v>
      </c>
    </row>
    <row r="257" spans="1:13" x14ac:dyDescent="0.3">
      <c r="A257" t="s">
        <v>7</v>
      </c>
      <c r="B257">
        <v>200</v>
      </c>
      <c r="C257">
        <v>699</v>
      </c>
      <c r="D257">
        <v>358</v>
      </c>
      <c r="E257" s="1">
        <v>179</v>
      </c>
      <c r="F257">
        <v>49</v>
      </c>
      <c r="G257">
        <v>2</v>
      </c>
      <c r="H257">
        <v>669</v>
      </c>
      <c r="I257">
        <f t="shared" si="15"/>
        <v>239502</v>
      </c>
      <c r="J257">
        <f t="shared" si="16"/>
        <v>2987</v>
      </c>
      <c r="K257">
        <f t="shared" si="17"/>
        <v>0</v>
      </c>
      <c r="L257">
        <f t="shared" si="18"/>
        <v>235973</v>
      </c>
      <c r="M257">
        <f t="shared" si="19"/>
        <v>0</v>
      </c>
    </row>
    <row r="258" spans="1:13" x14ac:dyDescent="0.3">
      <c r="A258" t="s">
        <v>7</v>
      </c>
      <c r="B258">
        <v>200</v>
      </c>
      <c r="C258">
        <v>699</v>
      </c>
      <c r="D258">
        <v>358</v>
      </c>
      <c r="E258" s="1">
        <v>179</v>
      </c>
      <c r="F258">
        <v>49</v>
      </c>
      <c r="G258">
        <v>2</v>
      </c>
      <c r="H258">
        <v>669</v>
      </c>
      <c r="I258">
        <f t="shared" si="15"/>
        <v>239502</v>
      </c>
      <c r="J258">
        <f t="shared" si="16"/>
        <v>2987</v>
      </c>
      <c r="K258">
        <f t="shared" si="17"/>
        <v>0</v>
      </c>
      <c r="L258">
        <f t="shared" si="18"/>
        <v>235973</v>
      </c>
      <c r="M258">
        <f t="shared" si="19"/>
        <v>0</v>
      </c>
    </row>
    <row r="259" spans="1:13" x14ac:dyDescent="0.3">
      <c r="A259" t="s">
        <v>8</v>
      </c>
      <c r="B259">
        <v>35</v>
      </c>
      <c r="C259">
        <v>80</v>
      </c>
      <c r="D259">
        <v>63</v>
      </c>
      <c r="E259" s="1">
        <v>180</v>
      </c>
      <c r="F259">
        <v>21</v>
      </c>
      <c r="G259">
        <v>2</v>
      </c>
      <c r="H259">
        <v>3065</v>
      </c>
      <c r="I259">
        <f t="shared" ref="I259:I322" si="20">D259*H259</f>
        <v>193095</v>
      </c>
      <c r="J259">
        <f t="shared" ref="J259:J322" si="21">H259+2318</f>
        <v>5383</v>
      </c>
      <c r="K259">
        <f t="shared" ref="K259:K322" si="22">IF(H259-2318&lt;=0,0,H259-2318)</f>
        <v>747</v>
      </c>
      <c r="L259">
        <f t="shared" ref="L259:L322" si="23">J259*$D$2</f>
        <v>425257</v>
      </c>
      <c r="M259">
        <f t="shared" ref="M259:M322" si="24">K259*$D$2</f>
        <v>59013</v>
      </c>
    </row>
    <row r="260" spans="1:13" x14ac:dyDescent="0.3">
      <c r="A260" t="s">
        <v>8</v>
      </c>
      <c r="B260">
        <v>35</v>
      </c>
      <c r="C260">
        <v>80</v>
      </c>
      <c r="D260">
        <v>63</v>
      </c>
      <c r="E260" s="1">
        <v>180</v>
      </c>
      <c r="F260">
        <v>21</v>
      </c>
      <c r="G260">
        <v>2</v>
      </c>
      <c r="H260">
        <v>3065</v>
      </c>
      <c r="I260">
        <f t="shared" si="20"/>
        <v>193095</v>
      </c>
      <c r="J260">
        <f t="shared" si="21"/>
        <v>5383</v>
      </c>
      <c r="K260">
        <f t="shared" si="22"/>
        <v>747</v>
      </c>
      <c r="L260">
        <f t="shared" si="23"/>
        <v>425257</v>
      </c>
      <c r="M260">
        <f t="shared" si="24"/>
        <v>59013</v>
      </c>
    </row>
    <row r="261" spans="1:13" x14ac:dyDescent="0.3">
      <c r="A261" t="s">
        <v>8</v>
      </c>
      <c r="B261">
        <v>35</v>
      </c>
      <c r="C261">
        <v>80</v>
      </c>
      <c r="D261">
        <v>63</v>
      </c>
      <c r="E261" s="1">
        <v>180</v>
      </c>
      <c r="F261">
        <v>21</v>
      </c>
      <c r="G261">
        <v>2</v>
      </c>
      <c r="H261">
        <v>3065</v>
      </c>
      <c r="I261">
        <f t="shared" si="20"/>
        <v>193095</v>
      </c>
      <c r="J261">
        <f t="shared" si="21"/>
        <v>5383</v>
      </c>
      <c r="K261">
        <f t="shared" si="22"/>
        <v>747</v>
      </c>
      <c r="L261">
        <f t="shared" si="23"/>
        <v>425257</v>
      </c>
      <c r="M261">
        <f t="shared" si="24"/>
        <v>59013</v>
      </c>
    </row>
    <row r="262" spans="1:13" x14ac:dyDescent="0.3">
      <c r="A262" t="s">
        <v>10</v>
      </c>
      <c r="B262">
        <v>120</v>
      </c>
      <c r="C262">
        <v>240</v>
      </c>
      <c r="D262">
        <v>216</v>
      </c>
      <c r="E262" s="1">
        <v>180</v>
      </c>
      <c r="F262">
        <v>10</v>
      </c>
      <c r="G262">
        <v>2</v>
      </c>
      <c r="H262">
        <v>1549</v>
      </c>
      <c r="I262">
        <f t="shared" si="20"/>
        <v>334584</v>
      </c>
      <c r="J262">
        <f t="shared" si="21"/>
        <v>3867</v>
      </c>
      <c r="K262">
        <f t="shared" si="22"/>
        <v>0</v>
      </c>
      <c r="L262">
        <f t="shared" si="23"/>
        <v>305493</v>
      </c>
      <c r="M262">
        <f t="shared" si="24"/>
        <v>0</v>
      </c>
    </row>
    <row r="263" spans="1:13" x14ac:dyDescent="0.3">
      <c r="A263" t="s">
        <v>8</v>
      </c>
      <c r="B263">
        <v>35</v>
      </c>
      <c r="C263">
        <v>80</v>
      </c>
      <c r="D263">
        <v>63</v>
      </c>
      <c r="E263" s="1">
        <v>180</v>
      </c>
      <c r="F263">
        <v>21</v>
      </c>
      <c r="G263">
        <v>2</v>
      </c>
      <c r="H263">
        <v>3065</v>
      </c>
      <c r="I263">
        <f t="shared" si="20"/>
        <v>193095</v>
      </c>
      <c r="J263">
        <f t="shared" si="21"/>
        <v>5383</v>
      </c>
      <c r="K263">
        <f t="shared" si="22"/>
        <v>747</v>
      </c>
      <c r="L263">
        <f t="shared" si="23"/>
        <v>425257</v>
      </c>
      <c r="M263">
        <f t="shared" si="24"/>
        <v>59013</v>
      </c>
    </row>
    <row r="264" spans="1:13" x14ac:dyDescent="0.3">
      <c r="A264" t="s">
        <v>10</v>
      </c>
      <c r="B264">
        <v>40</v>
      </c>
      <c r="C264">
        <v>80</v>
      </c>
      <c r="D264">
        <v>72</v>
      </c>
      <c r="E264" s="1">
        <v>180</v>
      </c>
      <c r="F264">
        <v>10</v>
      </c>
      <c r="G264">
        <v>2</v>
      </c>
      <c r="H264">
        <v>1698</v>
      </c>
      <c r="I264">
        <f t="shared" si="20"/>
        <v>122256</v>
      </c>
      <c r="J264">
        <f t="shared" si="21"/>
        <v>4016</v>
      </c>
      <c r="K264">
        <f t="shared" si="22"/>
        <v>0</v>
      </c>
      <c r="L264">
        <f t="shared" si="23"/>
        <v>317264</v>
      </c>
      <c r="M264">
        <f t="shared" si="24"/>
        <v>0</v>
      </c>
    </row>
    <row r="265" spans="1:13" x14ac:dyDescent="0.3">
      <c r="A265" t="s">
        <v>8</v>
      </c>
      <c r="B265">
        <v>35</v>
      </c>
      <c r="C265">
        <v>80</v>
      </c>
      <c r="D265">
        <v>63</v>
      </c>
      <c r="E265" s="1">
        <v>180</v>
      </c>
      <c r="F265">
        <v>21</v>
      </c>
      <c r="G265">
        <v>2</v>
      </c>
      <c r="H265">
        <v>3065</v>
      </c>
      <c r="I265">
        <f t="shared" si="20"/>
        <v>193095</v>
      </c>
      <c r="J265">
        <f t="shared" si="21"/>
        <v>5383</v>
      </c>
      <c r="K265">
        <f t="shared" si="22"/>
        <v>747</v>
      </c>
      <c r="L265">
        <f t="shared" si="23"/>
        <v>425257</v>
      </c>
      <c r="M265">
        <f t="shared" si="24"/>
        <v>59013</v>
      </c>
    </row>
    <row r="266" spans="1:13" x14ac:dyDescent="0.3">
      <c r="A266" t="s">
        <v>10</v>
      </c>
      <c r="B266">
        <v>40</v>
      </c>
      <c r="C266">
        <v>80</v>
      </c>
      <c r="D266">
        <v>72</v>
      </c>
      <c r="E266" s="1">
        <v>180</v>
      </c>
      <c r="F266">
        <v>10</v>
      </c>
      <c r="G266">
        <v>2</v>
      </c>
      <c r="H266">
        <v>1698</v>
      </c>
      <c r="I266">
        <f t="shared" si="20"/>
        <v>122256</v>
      </c>
      <c r="J266">
        <f t="shared" si="21"/>
        <v>4016</v>
      </c>
      <c r="K266">
        <f t="shared" si="22"/>
        <v>0</v>
      </c>
      <c r="L266">
        <f t="shared" si="23"/>
        <v>317264</v>
      </c>
      <c r="M266">
        <f t="shared" si="24"/>
        <v>0</v>
      </c>
    </row>
    <row r="267" spans="1:13" x14ac:dyDescent="0.3">
      <c r="A267" t="s">
        <v>10</v>
      </c>
      <c r="B267">
        <v>165</v>
      </c>
      <c r="C267">
        <v>330</v>
      </c>
      <c r="D267">
        <v>299</v>
      </c>
      <c r="E267" s="1">
        <v>181.21212121212119</v>
      </c>
      <c r="F267">
        <v>9</v>
      </c>
      <c r="G267">
        <v>2</v>
      </c>
      <c r="H267">
        <v>1309</v>
      </c>
      <c r="I267">
        <f t="shared" si="20"/>
        <v>391391</v>
      </c>
      <c r="J267">
        <f t="shared" si="21"/>
        <v>3627</v>
      </c>
      <c r="K267">
        <f t="shared" si="22"/>
        <v>0</v>
      </c>
      <c r="L267">
        <f t="shared" si="23"/>
        <v>286533</v>
      </c>
      <c r="M267">
        <f t="shared" si="24"/>
        <v>0</v>
      </c>
    </row>
    <row r="268" spans="1:13" x14ac:dyDescent="0.3">
      <c r="A268" t="s">
        <v>10</v>
      </c>
      <c r="B268">
        <v>201</v>
      </c>
      <c r="C268">
        <v>405</v>
      </c>
      <c r="D268">
        <v>366</v>
      </c>
      <c r="E268" s="1">
        <v>182.08955223880599</v>
      </c>
      <c r="F268">
        <v>10</v>
      </c>
      <c r="G268">
        <v>2</v>
      </c>
      <c r="H268">
        <v>1080</v>
      </c>
      <c r="I268">
        <f t="shared" si="20"/>
        <v>395280</v>
      </c>
      <c r="J268">
        <f t="shared" si="21"/>
        <v>3398</v>
      </c>
      <c r="K268">
        <f t="shared" si="22"/>
        <v>0</v>
      </c>
      <c r="L268">
        <f t="shared" si="23"/>
        <v>268442</v>
      </c>
      <c r="M268">
        <f t="shared" si="24"/>
        <v>0</v>
      </c>
    </row>
    <row r="269" spans="1:13" x14ac:dyDescent="0.3">
      <c r="A269" t="s">
        <v>10</v>
      </c>
      <c r="B269">
        <v>201</v>
      </c>
      <c r="C269">
        <v>405</v>
      </c>
      <c r="D269">
        <v>366</v>
      </c>
      <c r="E269" s="1">
        <v>182.08955223880599</v>
      </c>
      <c r="F269">
        <v>10</v>
      </c>
      <c r="G269">
        <v>2</v>
      </c>
      <c r="H269">
        <v>1080</v>
      </c>
      <c r="I269">
        <f t="shared" si="20"/>
        <v>395280</v>
      </c>
      <c r="J269">
        <f t="shared" si="21"/>
        <v>3398</v>
      </c>
      <c r="K269">
        <f t="shared" si="22"/>
        <v>0</v>
      </c>
      <c r="L269">
        <f t="shared" si="23"/>
        <v>268442</v>
      </c>
      <c r="M269">
        <f t="shared" si="24"/>
        <v>0</v>
      </c>
    </row>
    <row r="270" spans="1:13" x14ac:dyDescent="0.3">
      <c r="A270" t="s">
        <v>7</v>
      </c>
      <c r="B270">
        <v>20</v>
      </c>
      <c r="C270">
        <v>40</v>
      </c>
      <c r="D270">
        <v>37</v>
      </c>
      <c r="E270" s="1">
        <v>185</v>
      </c>
      <c r="F270">
        <v>8</v>
      </c>
      <c r="G270">
        <v>2</v>
      </c>
      <c r="H270">
        <v>1630</v>
      </c>
      <c r="I270">
        <f t="shared" si="20"/>
        <v>60310</v>
      </c>
      <c r="J270">
        <f t="shared" si="21"/>
        <v>3948</v>
      </c>
      <c r="K270">
        <f t="shared" si="22"/>
        <v>0</v>
      </c>
      <c r="L270">
        <f t="shared" si="23"/>
        <v>311892</v>
      </c>
      <c r="M270">
        <f t="shared" si="24"/>
        <v>0</v>
      </c>
    </row>
    <row r="271" spans="1:13" x14ac:dyDescent="0.3">
      <c r="A271" t="s">
        <v>7</v>
      </c>
      <c r="B271">
        <v>20</v>
      </c>
      <c r="C271">
        <v>40</v>
      </c>
      <c r="D271">
        <v>37</v>
      </c>
      <c r="E271" s="1">
        <v>185</v>
      </c>
      <c r="F271">
        <v>8</v>
      </c>
      <c r="G271">
        <v>2</v>
      </c>
      <c r="H271">
        <v>1630</v>
      </c>
      <c r="I271">
        <f t="shared" si="20"/>
        <v>60310</v>
      </c>
      <c r="J271">
        <f t="shared" si="21"/>
        <v>3948</v>
      </c>
      <c r="K271">
        <f t="shared" si="22"/>
        <v>0</v>
      </c>
      <c r="L271">
        <f t="shared" si="23"/>
        <v>311892</v>
      </c>
      <c r="M271">
        <f t="shared" si="24"/>
        <v>0</v>
      </c>
    </row>
    <row r="272" spans="1:13" x14ac:dyDescent="0.3">
      <c r="A272" t="s">
        <v>10</v>
      </c>
      <c r="B272">
        <v>80</v>
      </c>
      <c r="C272">
        <v>160</v>
      </c>
      <c r="D272">
        <v>149</v>
      </c>
      <c r="E272" s="1">
        <v>186.25</v>
      </c>
      <c r="F272">
        <v>7</v>
      </c>
      <c r="G272">
        <v>2</v>
      </c>
      <c r="H272">
        <v>932</v>
      </c>
      <c r="I272">
        <f t="shared" si="20"/>
        <v>138868</v>
      </c>
      <c r="J272">
        <f t="shared" si="21"/>
        <v>3250</v>
      </c>
      <c r="K272">
        <f t="shared" si="22"/>
        <v>0</v>
      </c>
      <c r="L272">
        <f t="shared" si="23"/>
        <v>256750</v>
      </c>
      <c r="M272">
        <f t="shared" si="24"/>
        <v>0</v>
      </c>
    </row>
    <row r="273" spans="1:13" x14ac:dyDescent="0.3">
      <c r="A273" t="s">
        <v>10</v>
      </c>
      <c r="B273">
        <v>110</v>
      </c>
      <c r="C273">
        <v>220</v>
      </c>
      <c r="D273">
        <v>206</v>
      </c>
      <c r="E273" s="1">
        <v>187.27272727272731</v>
      </c>
      <c r="F273">
        <v>6</v>
      </c>
      <c r="G273">
        <v>2</v>
      </c>
      <c r="H273">
        <v>1602</v>
      </c>
      <c r="I273">
        <f t="shared" si="20"/>
        <v>330012</v>
      </c>
      <c r="J273">
        <f t="shared" si="21"/>
        <v>3920</v>
      </c>
      <c r="K273">
        <f t="shared" si="22"/>
        <v>0</v>
      </c>
      <c r="L273">
        <f t="shared" si="23"/>
        <v>309680</v>
      </c>
      <c r="M273">
        <f t="shared" si="24"/>
        <v>0</v>
      </c>
    </row>
    <row r="274" spans="1:13" x14ac:dyDescent="0.3">
      <c r="A274" t="s">
        <v>10</v>
      </c>
      <c r="B274">
        <v>134</v>
      </c>
      <c r="C274">
        <v>270</v>
      </c>
      <c r="D274">
        <v>252</v>
      </c>
      <c r="E274" s="1">
        <v>188.0597014925373</v>
      </c>
      <c r="F274">
        <v>7</v>
      </c>
      <c r="G274">
        <v>2</v>
      </c>
      <c r="H274">
        <v>168</v>
      </c>
      <c r="I274">
        <f t="shared" si="20"/>
        <v>42336</v>
      </c>
      <c r="J274">
        <f t="shared" si="21"/>
        <v>2486</v>
      </c>
      <c r="K274">
        <f t="shared" si="22"/>
        <v>0</v>
      </c>
      <c r="L274">
        <f t="shared" si="23"/>
        <v>196394</v>
      </c>
      <c r="M274">
        <f t="shared" si="24"/>
        <v>0</v>
      </c>
    </row>
    <row r="275" spans="1:13" x14ac:dyDescent="0.3">
      <c r="A275" t="s">
        <v>10</v>
      </c>
      <c r="B275">
        <v>134</v>
      </c>
      <c r="C275">
        <v>270</v>
      </c>
      <c r="D275">
        <v>252</v>
      </c>
      <c r="E275" s="1">
        <v>188.0597014925373</v>
      </c>
      <c r="F275">
        <v>7</v>
      </c>
      <c r="G275">
        <v>2</v>
      </c>
      <c r="H275">
        <v>168</v>
      </c>
      <c r="I275">
        <f t="shared" si="20"/>
        <v>42336</v>
      </c>
      <c r="J275">
        <f t="shared" si="21"/>
        <v>2486</v>
      </c>
      <c r="K275">
        <f t="shared" si="22"/>
        <v>0</v>
      </c>
      <c r="L275">
        <f t="shared" si="23"/>
        <v>196394</v>
      </c>
      <c r="M275">
        <f t="shared" si="24"/>
        <v>0</v>
      </c>
    </row>
    <row r="276" spans="1:13" x14ac:dyDescent="0.3">
      <c r="A276" t="s">
        <v>7</v>
      </c>
      <c r="B276">
        <v>200</v>
      </c>
      <c r="C276">
        <v>595</v>
      </c>
      <c r="D276">
        <v>379</v>
      </c>
      <c r="E276" s="1">
        <v>189.5</v>
      </c>
      <c r="F276">
        <v>36</v>
      </c>
      <c r="G276">
        <v>2</v>
      </c>
      <c r="H276">
        <v>4146</v>
      </c>
      <c r="I276">
        <f t="shared" si="20"/>
        <v>1571334</v>
      </c>
      <c r="J276">
        <f t="shared" si="21"/>
        <v>6464</v>
      </c>
      <c r="K276">
        <f t="shared" si="22"/>
        <v>1828</v>
      </c>
      <c r="L276">
        <f t="shared" si="23"/>
        <v>510656</v>
      </c>
      <c r="M276">
        <f t="shared" si="24"/>
        <v>144412</v>
      </c>
    </row>
    <row r="277" spans="1:13" x14ac:dyDescent="0.3">
      <c r="A277" t="s">
        <v>10</v>
      </c>
      <c r="B277">
        <v>432</v>
      </c>
      <c r="C277">
        <v>880</v>
      </c>
      <c r="D277">
        <v>821</v>
      </c>
      <c r="E277" s="1">
        <v>190.0462962962963</v>
      </c>
      <c r="F277">
        <v>7</v>
      </c>
      <c r="G277">
        <v>0</v>
      </c>
      <c r="H277">
        <v>2080</v>
      </c>
      <c r="I277">
        <f t="shared" si="20"/>
        <v>1707680</v>
      </c>
      <c r="J277">
        <f t="shared" si="21"/>
        <v>4398</v>
      </c>
      <c r="K277">
        <f t="shared" si="22"/>
        <v>0</v>
      </c>
      <c r="L277">
        <f t="shared" si="23"/>
        <v>347442</v>
      </c>
      <c r="M277">
        <f t="shared" si="24"/>
        <v>0</v>
      </c>
    </row>
    <row r="278" spans="1:13" x14ac:dyDescent="0.3">
      <c r="A278" t="s">
        <v>10</v>
      </c>
      <c r="B278">
        <v>52</v>
      </c>
      <c r="C278">
        <v>110</v>
      </c>
      <c r="D278">
        <v>99</v>
      </c>
      <c r="E278" s="1">
        <v>190.38461538461539</v>
      </c>
      <c r="F278">
        <v>10</v>
      </c>
      <c r="G278">
        <v>2</v>
      </c>
      <c r="H278">
        <v>4031</v>
      </c>
      <c r="I278">
        <f t="shared" si="20"/>
        <v>399069</v>
      </c>
      <c r="J278">
        <f t="shared" si="21"/>
        <v>6349</v>
      </c>
      <c r="K278">
        <f t="shared" si="22"/>
        <v>1713</v>
      </c>
      <c r="L278">
        <f t="shared" si="23"/>
        <v>501571</v>
      </c>
      <c r="M278">
        <f t="shared" si="24"/>
        <v>135327</v>
      </c>
    </row>
    <row r="279" spans="1:13" x14ac:dyDescent="0.3">
      <c r="A279" t="s">
        <v>10</v>
      </c>
      <c r="B279">
        <v>52</v>
      </c>
      <c r="C279">
        <v>110</v>
      </c>
      <c r="D279">
        <v>99</v>
      </c>
      <c r="E279" s="1">
        <v>190.38461538461539</v>
      </c>
      <c r="F279">
        <v>10</v>
      </c>
      <c r="G279">
        <v>2</v>
      </c>
      <c r="H279">
        <v>4031</v>
      </c>
      <c r="I279">
        <f t="shared" si="20"/>
        <v>399069</v>
      </c>
      <c r="J279">
        <f t="shared" si="21"/>
        <v>6349</v>
      </c>
      <c r="K279">
        <f t="shared" si="22"/>
        <v>1713</v>
      </c>
      <c r="L279">
        <f t="shared" si="23"/>
        <v>501571</v>
      </c>
      <c r="M279">
        <f t="shared" si="24"/>
        <v>135327</v>
      </c>
    </row>
    <row r="280" spans="1:13" x14ac:dyDescent="0.3">
      <c r="A280" t="s">
        <v>7</v>
      </c>
      <c r="B280">
        <v>154</v>
      </c>
      <c r="C280">
        <v>478</v>
      </c>
      <c r="D280">
        <v>294</v>
      </c>
      <c r="E280" s="1">
        <v>190.90909090909091</v>
      </c>
      <c r="F280">
        <v>38</v>
      </c>
      <c r="G280">
        <v>2</v>
      </c>
      <c r="H280">
        <v>3191</v>
      </c>
      <c r="I280">
        <f t="shared" si="20"/>
        <v>938154</v>
      </c>
      <c r="J280">
        <f t="shared" si="21"/>
        <v>5509</v>
      </c>
      <c r="K280">
        <f t="shared" si="22"/>
        <v>873</v>
      </c>
      <c r="L280">
        <f t="shared" si="23"/>
        <v>435211</v>
      </c>
      <c r="M280">
        <f t="shared" si="24"/>
        <v>68967</v>
      </c>
    </row>
    <row r="281" spans="1:13" x14ac:dyDescent="0.3">
      <c r="A281" t="s">
        <v>7</v>
      </c>
      <c r="B281">
        <v>154</v>
      </c>
      <c r="C281">
        <v>398</v>
      </c>
      <c r="D281">
        <v>294</v>
      </c>
      <c r="E281" s="1">
        <v>190.90909090909091</v>
      </c>
      <c r="F281">
        <v>26</v>
      </c>
      <c r="G281">
        <v>2</v>
      </c>
      <c r="H281">
        <v>377</v>
      </c>
      <c r="I281">
        <f t="shared" si="20"/>
        <v>110838</v>
      </c>
      <c r="J281">
        <f t="shared" si="21"/>
        <v>2695</v>
      </c>
      <c r="K281">
        <f t="shared" si="22"/>
        <v>0</v>
      </c>
      <c r="L281">
        <f t="shared" si="23"/>
        <v>212905</v>
      </c>
      <c r="M281">
        <f t="shared" si="24"/>
        <v>0</v>
      </c>
    </row>
    <row r="282" spans="1:13" x14ac:dyDescent="0.3">
      <c r="A282" t="s">
        <v>8</v>
      </c>
      <c r="B282">
        <v>55</v>
      </c>
      <c r="C282">
        <v>120</v>
      </c>
      <c r="D282">
        <v>105</v>
      </c>
      <c r="E282" s="1">
        <v>190.90909090909091</v>
      </c>
      <c r="F282">
        <v>12</v>
      </c>
      <c r="G282">
        <v>2</v>
      </c>
      <c r="H282">
        <v>4031</v>
      </c>
      <c r="I282">
        <f t="shared" si="20"/>
        <v>423255</v>
      </c>
      <c r="J282">
        <f t="shared" si="21"/>
        <v>6349</v>
      </c>
      <c r="K282">
        <f t="shared" si="22"/>
        <v>1713</v>
      </c>
      <c r="L282">
        <f t="shared" si="23"/>
        <v>501571</v>
      </c>
      <c r="M282">
        <f t="shared" si="24"/>
        <v>135327</v>
      </c>
    </row>
    <row r="283" spans="1:13" x14ac:dyDescent="0.3">
      <c r="A283" t="s">
        <v>8</v>
      </c>
      <c r="B283">
        <v>55</v>
      </c>
      <c r="C283">
        <v>120</v>
      </c>
      <c r="D283">
        <v>105</v>
      </c>
      <c r="E283" s="1">
        <v>190.90909090909091</v>
      </c>
      <c r="F283">
        <v>12</v>
      </c>
      <c r="G283">
        <v>2</v>
      </c>
      <c r="H283">
        <v>4031</v>
      </c>
      <c r="I283">
        <f t="shared" si="20"/>
        <v>423255</v>
      </c>
      <c r="J283">
        <f t="shared" si="21"/>
        <v>6349</v>
      </c>
      <c r="K283">
        <f t="shared" si="22"/>
        <v>1713</v>
      </c>
      <c r="L283">
        <f t="shared" si="23"/>
        <v>501571</v>
      </c>
      <c r="M283">
        <f t="shared" si="24"/>
        <v>135327</v>
      </c>
    </row>
    <row r="284" spans="1:13" x14ac:dyDescent="0.3">
      <c r="A284" t="s">
        <v>10</v>
      </c>
      <c r="B284">
        <v>55</v>
      </c>
      <c r="C284">
        <v>110</v>
      </c>
      <c r="D284">
        <v>105</v>
      </c>
      <c r="E284" s="1">
        <v>190.90909090909091</v>
      </c>
      <c r="F284">
        <v>5</v>
      </c>
      <c r="G284">
        <v>2</v>
      </c>
      <c r="H284">
        <v>4031</v>
      </c>
      <c r="I284">
        <f t="shared" si="20"/>
        <v>423255</v>
      </c>
      <c r="J284">
        <f t="shared" si="21"/>
        <v>6349</v>
      </c>
      <c r="K284">
        <f t="shared" si="22"/>
        <v>1713</v>
      </c>
      <c r="L284">
        <f t="shared" si="23"/>
        <v>501571</v>
      </c>
      <c r="M284">
        <f t="shared" si="24"/>
        <v>135327</v>
      </c>
    </row>
    <row r="285" spans="1:13" x14ac:dyDescent="0.3">
      <c r="A285" t="s">
        <v>8</v>
      </c>
      <c r="B285">
        <v>100</v>
      </c>
      <c r="C285">
        <v>295</v>
      </c>
      <c r="D285">
        <v>191</v>
      </c>
      <c r="E285" s="1">
        <v>191</v>
      </c>
      <c r="F285">
        <v>35</v>
      </c>
      <c r="G285">
        <v>2</v>
      </c>
      <c r="H285">
        <v>1319</v>
      </c>
      <c r="I285">
        <f t="shared" si="20"/>
        <v>251929</v>
      </c>
      <c r="J285">
        <f t="shared" si="21"/>
        <v>3637</v>
      </c>
      <c r="K285">
        <f t="shared" si="22"/>
        <v>0</v>
      </c>
      <c r="L285">
        <f t="shared" si="23"/>
        <v>287323</v>
      </c>
      <c r="M285">
        <f t="shared" si="24"/>
        <v>0</v>
      </c>
    </row>
    <row r="286" spans="1:13" x14ac:dyDescent="0.3">
      <c r="A286" t="s">
        <v>10</v>
      </c>
      <c r="B286">
        <v>67</v>
      </c>
      <c r="C286">
        <v>135</v>
      </c>
      <c r="D286">
        <v>128</v>
      </c>
      <c r="E286" s="1">
        <v>191.044776119403</v>
      </c>
      <c r="F286">
        <v>5</v>
      </c>
      <c r="G286">
        <v>2</v>
      </c>
      <c r="H286">
        <v>2605</v>
      </c>
      <c r="I286">
        <f t="shared" si="20"/>
        <v>333440</v>
      </c>
      <c r="J286">
        <f t="shared" si="21"/>
        <v>4923</v>
      </c>
      <c r="K286">
        <f t="shared" si="22"/>
        <v>287</v>
      </c>
      <c r="L286">
        <f t="shared" si="23"/>
        <v>388917</v>
      </c>
      <c r="M286">
        <f t="shared" si="24"/>
        <v>22673</v>
      </c>
    </row>
    <row r="287" spans="1:13" x14ac:dyDescent="0.3">
      <c r="A287" t="s">
        <v>10</v>
      </c>
      <c r="B287">
        <v>67</v>
      </c>
      <c r="C287">
        <v>135</v>
      </c>
      <c r="D287">
        <v>128</v>
      </c>
      <c r="E287" s="1">
        <v>191.044776119403</v>
      </c>
      <c r="F287">
        <v>5</v>
      </c>
      <c r="G287">
        <v>2</v>
      </c>
      <c r="H287">
        <v>2605</v>
      </c>
      <c r="I287">
        <f t="shared" si="20"/>
        <v>333440</v>
      </c>
      <c r="J287">
        <f t="shared" si="21"/>
        <v>4923</v>
      </c>
      <c r="K287">
        <f t="shared" si="22"/>
        <v>287</v>
      </c>
      <c r="L287">
        <f t="shared" si="23"/>
        <v>388917</v>
      </c>
      <c r="M287">
        <f t="shared" si="24"/>
        <v>22673</v>
      </c>
    </row>
    <row r="288" spans="1:13" x14ac:dyDescent="0.3">
      <c r="A288" t="s">
        <v>10</v>
      </c>
      <c r="B288">
        <v>156</v>
      </c>
      <c r="C288">
        <v>330</v>
      </c>
      <c r="D288">
        <v>299</v>
      </c>
      <c r="E288" s="1">
        <v>191.66666666666671</v>
      </c>
      <c r="F288">
        <v>9</v>
      </c>
      <c r="G288">
        <v>2</v>
      </c>
      <c r="H288">
        <v>1309</v>
      </c>
      <c r="I288">
        <f t="shared" si="20"/>
        <v>391391</v>
      </c>
      <c r="J288">
        <f t="shared" si="21"/>
        <v>3627</v>
      </c>
      <c r="K288">
        <f t="shared" si="22"/>
        <v>0</v>
      </c>
      <c r="L288">
        <f t="shared" si="23"/>
        <v>286533</v>
      </c>
      <c r="M288">
        <f t="shared" si="24"/>
        <v>0</v>
      </c>
    </row>
    <row r="289" spans="1:13" x14ac:dyDescent="0.3">
      <c r="A289" t="s">
        <v>10</v>
      </c>
      <c r="B289">
        <v>156</v>
      </c>
      <c r="C289">
        <v>330</v>
      </c>
      <c r="D289">
        <v>299</v>
      </c>
      <c r="E289" s="1">
        <v>191.66666666666671</v>
      </c>
      <c r="F289">
        <v>9</v>
      </c>
      <c r="G289">
        <v>2</v>
      </c>
      <c r="H289">
        <v>1309</v>
      </c>
      <c r="I289">
        <f t="shared" si="20"/>
        <v>391391</v>
      </c>
      <c r="J289">
        <f t="shared" si="21"/>
        <v>3627</v>
      </c>
      <c r="K289">
        <f t="shared" si="22"/>
        <v>0</v>
      </c>
      <c r="L289">
        <f t="shared" si="23"/>
        <v>286533</v>
      </c>
      <c r="M289">
        <f t="shared" si="24"/>
        <v>0</v>
      </c>
    </row>
    <row r="290" spans="1:13" x14ac:dyDescent="0.3">
      <c r="A290" t="s">
        <v>10</v>
      </c>
      <c r="B290">
        <v>156</v>
      </c>
      <c r="C290">
        <v>330</v>
      </c>
      <c r="D290">
        <v>299</v>
      </c>
      <c r="E290" s="1">
        <v>191.66666666666671</v>
      </c>
      <c r="F290">
        <v>9</v>
      </c>
      <c r="G290">
        <v>2</v>
      </c>
      <c r="H290">
        <v>1309</v>
      </c>
      <c r="I290">
        <f t="shared" si="20"/>
        <v>391391</v>
      </c>
      <c r="J290">
        <f t="shared" si="21"/>
        <v>3627</v>
      </c>
      <c r="K290">
        <f t="shared" si="22"/>
        <v>0</v>
      </c>
      <c r="L290">
        <f t="shared" si="23"/>
        <v>286533</v>
      </c>
      <c r="M290">
        <f t="shared" si="24"/>
        <v>0</v>
      </c>
    </row>
    <row r="291" spans="1:13" x14ac:dyDescent="0.3">
      <c r="A291" t="s">
        <v>10</v>
      </c>
      <c r="B291">
        <v>156</v>
      </c>
      <c r="C291">
        <v>330</v>
      </c>
      <c r="D291">
        <v>299</v>
      </c>
      <c r="E291" s="1">
        <v>191.66666666666671</v>
      </c>
      <c r="F291">
        <v>9</v>
      </c>
      <c r="G291">
        <v>2</v>
      </c>
      <c r="H291">
        <v>1309</v>
      </c>
      <c r="I291">
        <f t="shared" si="20"/>
        <v>391391</v>
      </c>
      <c r="J291">
        <f t="shared" si="21"/>
        <v>3627</v>
      </c>
      <c r="K291">
        <f t="shared" si="22"/>
        <v>0</v>
      </c>
      <c r="L291">
        <f t="shared" si="23"/>
        <v>286533</v>
      </c>
      <c r="M291">
        <f t="shared" si="24"/>
        <v>0</v>
      </c>
    </row>
    <row r="292" spans="1:13" x14ac:dyDescent="0.3">
      <c r="A292" t="s">
        <v>10</v>
      </c>
      <c r="B292">
        <v>156</v>
      </c>
      <c r="C292">
        <v>330</v>
      </c>
      <c r="D292">
        <v>299</v>
      </c>
      <c r="E292" s="1">
        <v>191.66666666666671</v>
      </c>
      <c r="F292">
        <v>9</v>
      </c>
      <c r="G292">
        <v>2</v>
      </c>
      <c r="H292">
        <v>1309</v>
      </c>
      <c r="I292">
        <f t="shared" si="20"/>
        <v>391391</v>
      </c>
      <c r="J292">
        <f t="shared" si="21"/>
        <v>3627</v>
      </c>
      <c r="K292">
        <f t="shared" si="22"/>
        <v>0</v>
      </c>
      <c r="L292">
        <f t="shared" si="23"/>
        <v>286533</v>
      </c>
      <c r="M292">
        <f t="shared" si="24"/>
        <v>0</v>
      </c>
    </row>
    <row r="293" spans="1:13" x14ac:dyDescent="0.3">
      <c r="A293" t="s">
        <v>7</v>
      </c>
      <c r="B293">
        <v>77</v>
      </c>
      <c r="C293">
        <v>239</v>
      </c>
      <c r="D293">
        <v>148</v>
      </c>
      <c r="E293" s="1">
        <v>192.20779220779221</v>
      </c>
      <c r="F293">
        <v>38</v>
      </c>
      <c r="G293">
        <v>2</v>
      </c>
      <c r="H293">
        <v>5626</v>
      </c>
      <c r="I293">
        <f t="shared" si="20"/>
        <v>832648</v>
      </c>
      <c r="J293">
        <f t="shared" si="21"/>
        <v>7944</v>
      </c>
      <c r="K293">
        <f t="shared" si="22"/>
        <v>3308</v>
      </c>
      <c r="L293">
        <f t="shared" si="23"/>
        <v>627576</v>
      </c>
      <c r="M293">
        <f t="shared" si="24"/>
        <v>261332</v>
      </c>
    </row>
    <row r="294" spans="1:13" x14ac:dyDescent="0.3">
      <c r="A294" t="s">
        <v>7</v>
      </c>
      <c r="B294">
        <v>77</v>
      </c>
      <c r="C294">
        <v>199</v>
      </c>
      <c r="D294">
        <v>148</v>
      </c>
      <c r="E294" s="1">
        <v>192.20779220779221</v>
      </c>
      <c r="F294">
        <v>26</v>
      </c>
      <c r="G294">
        <v>2</v>
      </c>
      <c r="H294">
        <v>1880</v>
      </c>
      <c r="I294">
        <f t="shared" si="20"/>
        <v>278240</v>
      </c>
      <c r="J294">
        <f t="shared" si="21"/>
        <v>4198</v>
      </c>
      <c r="K294">
        <f t="shared" si="22"/>
        <v>0</v>
      </c>
      <c r="L294">
        <f t="shared" si="23"/>
        <v>331642</v>
      </c>
      <c r="M294">
        <f t="shared" si="24"/>
        <v>0</v>
      </c>
    </row>
    <row r="295" spans="1:13" x14ac:dyDescent="0.3">
      <c r="A295" t="s">
        <v>10</v>
      </c>
      <c r="B295">
        <v>216</v>
      </c>
      <c r="C295">
        <v>440</v>
      </c>
      <c r="D295">
        <v>419</v>
      </c>
      <c r="E295" s="1">
        <v>193.9814814814815</v>
      </c>
      <c r="F295">
        <v>5</v>
      </c>
      <c r="G295">
        <v>2</v>
      </c>
      <c r="H295">
        <v>1116</v>
      </c>
      <c r="I295">
        <f t="shared" si="20"/>
        <v>467604</v>
      </c>
      <c r="J295">
        <f t="shared" si="21"/>
        <v>3434</v>
      </c>
      <c r="K295">
        <f t="shared" si="22"/>
        <v>0</v>
      </c>
      <c r="L295">
        <f t="shared" si="23"/>
        <v>271286</v>
      </c>
      <c r="M295">
        <f t="shared" si="24"/>
        <v>0</v>
      </c>
    </row>
    <row r="296" spans="1:13" x14ac:dyDescent="0.3">
      <c r="A296" t="s">
        <v>7</v>
      </c>
      <c r="B296">
        <v>200</v>
      </c>
      <c r="C296">
        <v>469</v>
      </c>
      <c r="D296">
        <v>389</v>
      </c>
      <c r="E296" s="1">
        <v>194.5</v>
      </c>
      <c r="F296">
        <v>17</v>
      </c>
      <c r="G296">
        <v>2</v>
      </c>
      <c r="H296">
        <v>184</v>
      </c>
      <c r="I296">
        <f t="shared" si="20"/>
        <v>71576</v>
      </c>
      <c r="J296">
        <f t="shared" si="21"/>
        <v>2502</v>
      </c>
      <c r="K296">
        <f t="shared" si="22"/>
        <v>0</v>
      </c>
      <c r="L296">
        <f t="shared" si="23"/>
        <v>197658</v>
      </c>
      <c r="M296">
        <f t="shared" si="24"/>
        <v>0</v>
      </c>
    </row>
    <row r="297" spans="1:13" x14ac:dyDescent="0.3">
      <c r="A297" t="s">
        <v>7</v>
      </c>
      <c r="B297">
        <v>20</v>
      </c>
      <c r="C297">
        <v>40</v>
      </c>
      <c r="D297">
        <v>39</v>
      </c>
      <c r="E297" s="1">
        <v>195</v>
      </c>
      <c r="F297">
        <v>2</v>
      </c>
      <c r="G297">
        <v>2</v>
      </c>
      <c r="H297">
        <v>1630</v>
      </c>
      <c r="I297">
        <f t="shared" si="20"/>
        <v>63570</v>
      </c>
      <c r="J297">
        <f t="shared" si="21"/>
        <v>3948</v>
      </c>
      <c r="K297">
        <f t="shared" si="22"/>
        <v>0</v>
      </c>
      <c r="L297">
        <f t="shared" si="23"/>
        <v>311892</v>
      </c>
      <c r="M297">
        <f t="shared" si="24"/>
        <v>0</v>
      </c>
    </row>
    <row r="298" spans="1:13" x14ac:dyDescent="0.3">
      <c r="A298" t="s">
        <v>10</v>
      </c>
      <c r="B298">
        <v>40</v>
      </c>
      <c r="C298">
        <v>80</v>
      </c>
      <c r="D298">
        <v>78</v>
      </c>
      <c r="E298" s="1">
        <v>195</v>
      </c>
      <c r="F298">
        <v>2</v>
      </c>
      <c r="G298">
        <v>2</v>
      </c>
      <c r="H298">
        <v>1698</v>
      </c>
      <c r="I298">
        <f t="shared" si="20"/>
        <v>132444</v>
      </c>
      <c r="J298">
        <f t="shared" si="21"/>
        <v>4016</v>
      </c>
      <c r="K298">
        <f t="shared" si="22"/>
        <v>0</v>
      </c>
      <c r="L298">
        <f t="shared" si="23"/>
        <v>317264</v>
      </c>
      <c r="M298">
        <f t="shared" si="24"/>
        <v>0</v>
      </c>
    </row>
    <row r="299" spans="1:13" x14ac:dyDescent="0.3">
      <c r="A299" t="s">
        <v>7</v>
      </c>
      <c r="B299">
        <v>21</v>
      </c>
      <c r="C299">
        <v>50</v>
      </c>
      <c r="D299">
        <v>41</v>
      </c>
      <c r="E299" s="1">
        <v>195.23809523809521</v>
      </c>
      <c r="F299">
        <v>18</v>
      </c>
      <c r="G299">
        <v>2</v>
      </c>
      <c r="H299">
        <v>12375</v>
      </c>
      <c r="I299">
        <f t="shared" si="20"/>
        <v>507375</v>
      </c>
      <c r="J299">
        <f t="shared" si="21"/>
        <v>14693</v>
      </c>
      <c r="K299">
        <f t="shared" si="22"/>
        <v>10057</v>
      </c>
      <c r="L299">
        <f t="shared" si="23"/>
        <v>1160747</v>
      </c>
      <c r="M299">
        <f t="shared" si="24"/>
        <v>794503</v>
      </c>
    </row>
    <row r="300" spans="1:13" x14ac:dyDescent="0.3">
      <c r="A300" t="s">
        <v>7</v>
      </c>
      <c r="B300">
        <v>21</v>
      </c>
      <c r="C300">
        <v>50</v>
      </c>
      <c r="D300">
        <v>41</v>
      </c>
      <c r="E300" s="1">
        <v>195.23809523809521</v>
      </c>
      <c r="F300">
        <v>18</v>
      </c>
      <c r="G300">
        <v>2</v>
      </c>
      <c r="H300">
        <v>12375</v>
      </c>
      <c r="I300">
        <f t="shared" si="20"/>
        <v>507375</v>
      </c>
      <c r="J300">
        <f t="shared" si="21"/>
        <v>14693</v>
      </c>
      <c r="K300">
        <f t="shared" si="22"/>
        <v>10057</v>
      </c>
      <c r="L300">
        <f t="shared" si="23"/>
        <v>1160747</v>
      </c>
      <c r="M300">
        <f t="shared" si="24"/>
        <v>794503</v>
      </c>
    </row>
    <row r="301" spans="1:13" x14ac:dyDescent="0.3">
      <c r="A301" t="s">
        <v>10</v>
      </c>
      <c r="B301">
        <v>104</v>
      </c>
      <c r="C301">
        <v>220</v>
      </c>
      <c r="D301">
        <v>206</v>
      </c>
      <c r="E301" s="1">
        <v>198.07692307692309</v>
      </c>
      <c r="F301">
        <v>6</v>
      </c>
      <c r="G301">
        <v>2</v>
      </c>
      <c r="H301">
        <v>1602</v>
      </c>
      <c r="I301">
        <f t="shared" si="20"/>
        <v>330012</v>
      </c>
      <c r="J301">
        <f t="shared" si="21"/>
        <v>3920</v>
      </c>
      <c r="K301">
        <f t="shared" si="22"/>
        <v>0</v>
      </c>
      <c r="L301">
        <f t="shared" si="23"/>
        <v>309680</v>
      </c>
      <c r="M301">
        <f t="shared" si="24"/>
        <v>0</v>
      </c>
    </row>
    <row r="302" spans="1:13" x14ac:dyDescent="0.3">
      <c r="A302" t="s">
        <v>10</v>
      </c>
      <c r="B302">
        <v>104</v>
      </c>
      <c r="C302">
        <v>220</v>
      </c>
      <c r="D302">
        <v>206</v>
      </c>
      <c r="E302" s="1">
        <v>198.07692307692309</v>
      </c>
      <c r="F302">
        <v>6</v>
      </c>
      <c r="G302">
        <v>2</v>
      </c>
      <c r="H302">
        <v>1602</v>
      </c>
      <c r="I302">
        <f t="shared" si="20"/>
        <v>330012</v>
      </c>
      <c r="J302">
        <f t="shared" si="21"/>
        <v>3920</v>
      </c>
      <c r="K302">
        <f t="shared" si="22"/>
        <v>0</v>
      </c>
      <c r="L302">
        <f t="shared" si="23"/>
        <v>309680</v>
      </c>
      <c r="M302">
        <f t="shared" si="24"/>
        <v>0</v>
      </c>
    </row>
    <row r="303" spans="1:13" x14ac:dyDescent="0.3">
      <c r="A303" t="s">
        <v>10</v>
      </c>
      <c r="B303">
        <v>104</v>
      </c>
      <c r="C303">
        <v>220</v>
      </c>
      <c r="D303">
        <v>206</v>
      </c>
      <c r="E303" s="1">
        <v>198.07692307692309</v>
      </c>
      <c r="F303">
        <v>6</v>
      </c>
      <c r="G303">
        <v>2</v>
      </c>
      <c r="H303">
        <v>1602</v>
      </c>
      <c r="I303">
        <f t="shared" si="20"/>
        <v>330012</v>
      </c>
      <c r="J303">
        <f t="shared" si="21"/>
        <v>3920</v>
      </c>
      <c r="K303">
        <f t="shared" si="22"/>
        <v>0</v>
      </c>
      <c r="L303">
        <f t="shared" si="23"/>
        <v>309680</v>
      </c>
      <c r="M303">
        <f t="shared" si="24"/>
        <v>0</v>
      </c>
    </row>
    <row r="304" spans="1:13" x14ac:dyDescent="0.3">
      <c r="A304" t="s">
        <v>10</v>
      </c>
      <c r="B304">
        <v>104</v>
      </c>
      <c r="C304">
        <v>220</v>
      </c>
      <c r="D304">
        <v>206</v>
      </c>
      <c r="E304" s="1">
        <v>198.07692307692309</v>
      </c>
      <c r="F304">
        <v>6</v>
      </c>
      <c r="G304">
        <v>2</v>
      </c>
      <c r="H304">
        <v>1602</v>
      </c>
      <c r="I304">
        <f t="shared" si="20"/>
        <v>330012</v>
      </c>
      <c r="J304">
        <f t="shared" si="21"/>
        <v>3920</v>
      </c>
      <c r="K304">
        <f t="shared" si="22"/>
        <v>0</v>
      </c>
      <c r="L304">
        <f t="shared" si="23"/>
        <v>309680</v>
      </c>
      <c r="M304">
        <f t="shared" si="24"/>
        <v>0</v>
      </c>
    </row>
    <row r="305" spans="1:13" x14ac:dyDescent="0.3">
      <c r="A305" t="s">
        <v>10</v>
      </c>
      <c r="B305">
        <v>104</v>
      </c>
      <c r="C305">
        <v>220</v>
      </c>
      <c r="D305">
        <v>206</v>
      </c>
      <c r="E305" s="1">
        <v>198.07692307692309</v>
      </c>
      <c r="F305">
        <v>6</v>
      </c>
      <c r="G305">
        <v>2</v>
      </c>
      <c r="H305">
        <v>1602</v>
      </c>
      <c r="I305">
        <f t="shared" si="20"/>
        <v>330012</v>
      </c>
      <c r="J305">
        <f t="shared" si="21"/>
        <v>3920</v>
      </c>
      <c r="K305">
        <f t="shared" si="22"/>
        <v>0</v>
      </c>
      <c r="L305">
        <f t="shared" si="23"/>
        <v>309680</v>
      </c>
      <c r="M305">
        <f t="shared" si="24"/>
        <v>0</v>
      </c>
    </row>
    <row r="306" spans="1:13" x14ac:dyDescent="0.3">
      <c r="A306" t="s">
        <v>7</v>
      </c>
      <c r="B306">
        <v>150</v>
      </c>
      <c r="C306">
        <v>379</v>
      </c>
      <c r="D306">
        <v>300</v>
      </c>
      <c r="E306" s="1">
        <v>200</v>
      </c>
      <c r="F306">
        <v>21</v>
      </c>
      <c r="G306">
        <v>2</v>
      </c>
      <c r="H306">
        <v>153</v>
      </c>
      <c r="I306">
        <f t="shared" si="20"/>
        <v>45900</v>
      </c>
      <c r="J306">
        <f t="shared" si="21"/>
        <v>2471</v>
      </c>
      <c r="K306">
        <f t="shared" si="22"/>
        <v>0</v>
      </c>
      <c r="L306">
        <f t="shared" si="23"/>
        <v>195209</v>
      </c>
      <c r="M306">
        <f t="shared" si="24"/>
        <v>0</v>
      </c>
    </row>
    <row r="307" spans="1:13" x14ac:dyDescent="0.3">
      <c r="A307" t="s">
        <v>10</v>
      </c>
      <c r="B307">
        <v>52</v>
      </c>
      <c r="C307">
        <v>110</v>
      </c>
      <c r="D307">
        <v>104</v>
      </c>
      <c r="E307" s="1">
        <v>200</v>
      </c>
      <c r="F307">
        <v>5</v>
      </c>
      <c r="G307">
        <v>2</v>
      </c>
      <c r="H307">
        <v>4031</v>
      </c>
      <c r="I307">
        <f t="shared" si="20"/>
        <v>419224</v>
      </c>
      <c r="J307">
        <f t="shared" si="21"/>
        <v>6349</v>
      </c>
      <c r="K307">
        <f t="shared" si="22"/>
        <v>1713</v>
      </c>
      <c r="L307">
        <f t="shared" si="23"/>
        <v>501571</v>
      </c>
      <c r="M307">
        <f t="shared" si="24"/>
        <v>135327</v>
      </c>
    </row>
    <row r="308" spans="1:13" x14ac:dyDescent="0.3">
      <c r="A308" t="s">
        <v>10</v>
      </c>
      <c r="B308">
        <v>52</v>
      </c>
      <c r="C308">
        <v>110</v>
      </c>
      <c r="D308">
        <v>104</v>
      </c>
      <c r="E308" s="1">
        <v>200</v>
      </c>
      <c r="F308">
        <v>5</v>
      </c>
      <c r="G308">
        <v>2</v>
      </c>
      <c r="H308">
        <v>4031</v>
      </c>
      <c r="I308">
        <f t="shared" si="20"/>
        <v>419224</v>
      </c>
      <c r="J308">
        <f t="shared" si="21"/>
        <v>6349</v>
      </c>
      <c r="K308">
        <f t="shared" si="22"/>
        <v>1713</v>
      </c>
      <c r="L308">
        <f t="shared" si="23"/>
        <v>501571</v>
      </c>
      <c r="M308">
        <f t="shared" si="24"/>
        <v>135327</v>
      </c>
    </row>
    <row r="309" spans="1:13" x14ac:dyDescent="0.3">
      <c r="A309" t="s">
        <v>10</v>
      </c>
      <c r="B309">
        <v>52</v>
      </c>
      <c r="C309">
        <v>110</v>
      </c>
      <c r="D309">
        <v>104</v>
      </c>
      <c r="E309" s="1">
        <v>200</v>
      </c>
      <c r="F309">
        <v>5</v>
      </c>
      <c r="G309">
        <v>2</v>
      </c>
      <c r="H309">
        <v>4031</v>
      </c>
      <c r="I309">
        <f t="shared" si="20"/>
        <v>419224</v>
      </c>
      <c r="J309">
        <f t="shared" si="21"/>
        <v>6349</v>
      </c>
      <c r="K309">
        <f t="shared" si="22"/>
        <v>1713</v>
      </c>
      <c r="L309">
        <f t="shared" si="23"/>
        <v>501571</v>
      </c>
      <c r="M309">
        <f t="shared" si="24"/>
        <v>135327</v>
      </c>
    </row>
    <row r="310" spans="1:13" x14ac:dyDescent="0.3">
      <c r="A310" t="s">
        <v>10</v>
      </c>
      <c r="B310">
        <v>52</v>
      </c>
      <c r="C310">
        <v>110</v>
      </c>
      <c r="D310">
        <v>104</v>
      </c>
      <c r="E310" s="1">
        <v>200</v>
      </c>
      <c r="F310">
        <v>5</v>
      </c>
      <c r="G310">
        <v>2</v>
      </c>
      <c r="H310">
        <v>4031</v>
      </c>
      <c r="I310">
        <f t="shared" si="20"/>
        <v>419224</v>
      </c>
      <c r="J310">
        <f t="shared" si="21"/>
        <v>6349</v>
      </c>
      <c r="K310">
        <f t="shared" si="22"/>
        <v>1713</v>
      </c>
      <c r="L310">
        <f t="shared" si="23"/>
        <v>501571</v>
      </c>
      <c r="M310">
        <f t="shared" si="24"/>
        <v>135327</v>
      </c>
    </row>
    <row r="311" spans="1:13" x14ac:dyDescent="0.3">
      <c r="A311" t="s">
        <v>10</v>
      </c>
      <c r="B311">
        <v>52</v>
      </c>
      <c r="C311">
        <v>110</v>
      </c>
      <c r="D311">
        <v>104</v>
      </c>
      <c r="E311" s="1">
        <v>200</v>
      </c>
      <c r="F311">
        <v>5</v>
      </c>
      <c r="G311">
        <v>2</v>
      </c>
      <c r="H311">
        <v>4031</v>
      </c>
      <c r="I311">
        <f t="shared" si="20"/>
        <v>419224</v>
      </c>
      <c r="J311">
        <f t="shared" si="21"/>
        <v>6349</v>
      </c>
      <c r="K311">
        <f t="shared" si="22"/>
        <v>1713</v>
      </c>
      <c r="L311">
        <f t="shared" si="23"/>
        <v>501571</v>
      </c>
      <c r="M311">
        <f t="shared" si="24"/>
        <v>135327</v>
      </c>
    </row>
    <row r="312" spans="1:13" x14ac:dyDescent="0.3">
      <c r="A312" t="s">
        <v>10</v>
      </c>
      <c r="B312">
        <v>52</v>
      </c>
      <c r="C312">
        <v>110</v>
      </c>
      <c r="D312">
        <v>104</v>
      </c>
      <c r="E312" s="1">
        <v>200</v>
      </c>
      <c r="F312">
        <v>5</v>
      </c>
      <c r="G312">
        <v>2</v>
      </c>
      <c r="H312">
        <v>4031</v>
      </c>
      <c r="I312">
        <f t="shared" si="20"/>
        <v>419224</v>
      </c>
      <c r="J312">
        <f t="shared" si="21"/>
        <v>6349</v>
      </c>
      <c r="K312">
        <f t="shared" si="22"/>
        <v>1713</v>
      </c>
      <c r="L312">
        <f t="shared" si="23"/>
        <v>501571</v>
      </c>
      <c r="M312">
        <f t="shared" si="24"/>
        <v>135327</v>
      </c>
    </row>
    <row r="313" spans="1:13" x14ac:dyDescent="0.3">
      <c r="A313" t="s">
        <v>10</v>
      </c>
      <c r="B313">
        <v>52</v>
      </c>
      <c r="C313">
        <v>110</v>
      </c>
      <c r="D313">
        <v>104</v>
      </c>
      <c r="E313" s="1">
        <v>200</v>
      </c>
      <c r="F313">
        <v>5</v>
      </c>
      <c r="G313">
        <v>2</v>
      </c>
      <c r="H313">
        <v>4031</v>
      </c>
      <c r="I313">
        <f t="shared" si="20"/>
        <v>419224</v>
      </c>
      <c r="J313">
        <f t="shared" si="21"/>
        <v>6349</v>
      </c>
      <c r="K313">
        <f t="shared" si="22"/>
        <v>1713</v>
      </c>
      <c r="L313">
        <f t="shared" si="23"/>
        <v>501571</v>
      </c>
      <c r="M313">
        <f t="shared" si="24"/>
        <v>135327</v>
      </c>
    </row>
    <row r="314" spans="1:13" x14ac:dyDescent="0.3">
      <c r="A314" t="s">
        <v>7</v>
      </c>
      <c r="B314">
        <v>60</v>
      </c>
      <c r="C314">
        <v>150</v>
      </c>
      <c r="D314">
        <v>122</v>
      </c>
      <c r="E314" s="1">
        <v>203.33333333333329</v>
      </c>
      <c r="F314">
        <v>19</v>
      </c>
      <c r="G314">
        <v>2</v>
      </c>
      <c r="H314">
        <v>3586</v>
      </c>
      <c r="I314">
        <f t="shared" si="20"/>
        <v>437492</v>
      </c>
      <c r="J314">
        <f t="shared" si="21"/>
        <v>5904</v>
      </c>
      <c r="K314">
        <f t="shared" si="22"/>
        <v>1268</v>
      </c>
      <c r="L314">
        <f t="shared" si="23"/>
        <v>466416</v>
      </c>
      <c r="M314">
        <f t="shared" si="24"/>
        <v>100172</v>
      </c>
    </row>
    <row r="315" spans="1:13" x14ac:dyDescent="0.3">
      <c r="A315" t="s">
        <v>7</v>
      </c>
      <c r="B315">
        <v>120</v>
      </c>
      <c r="C315">
        <v>298</v>
      </c>
      <c r="D315">
        <v>244</v>
      </c>
      <c r="E315" s="1">
        <v>203.33333333333329</v>
      </c>
      <c r="F315">
        <v>18</v>
      </c>
      <c r="G315">
        <v>2</v>
      </c>
      <c r="H315">
        <v>1801</v>
      </c>
      <c r="I315">
        <f t="shared" si="20"/>
        <v>439444</v>
      </c>
      <c r="J315">
        <f t="shared" si="21"/>
        <v>4119</v>
      </c>
      <c r="K315">
        <f t="shared" si="22"/>
        <v>0</v>
      </c>
      <c r="L315">
        <f t="shared" si="23"/>
        <v>325401</v>
      </c>
      <c r="M315">
        <f t="shared" si="24"/>
        <v>0</v>
      </c>
    </row>
    <row r="316" spans="1:13" x14ac:dyDescent="0.3">
      <c r="A316" t="s">
        <v>7</v>
      </c>
      <c r="B316">
        <v>40</v>
      </c>
      <c r="C316">
        <v>100</v>
      </c>
      <c r="D316">
        <v>82</v>
      </c>
      <c r="E316" s="1">
        <v>205</v>
      </c>
      <c r="F316">
        <v>18</v>
      </c>
      <c r="G316">
        <v>2</v>
      </c>
      <c r="H316">
        <v>3778</v>
      </c>
      <c r="I316">
        <f t="shared" si="20"/>
        <v>309796</v>
      </c>
      <c r="J316">
        <f t="shared" si="21"/>
        <v>6096</v>
      </c>
      <c r="K316">
        <f t="shared" si="22"/>
        <v>1460</v>
      </c>
      <c r="L316">
        <f t="shared" si="23"/>
        <v>481584</v>
      </c>
      <c r="M316">
        <f t="shared" si="24"/>
        <v>115340</v>
      </c>
    </row>
    <row r="317" spans="1:13" x14ac:dyDescent="0.3">
      <c r="A317" t="s">
        <v>7</v>
      </c>
      <c r="B317">
        <v>40</v>
      </c>
      <c r="C317">
        <v>100</v>
      </c>
      <c r="D317">
        <v>82</v>
      </c>
      <c r="E317" s="1">
        <v>205</v>
      </c>
      <c r="F317">
        <v>18</v>
      </c>
      <c r="G317">
        <v>2</v>
      </c>
      <c r="H317">
        <v>3778</v>
      </c>
      <c r="I317">
        <f t="shared" si="20"/>
        <v>309796</v>
      </c>
      <c r="J317">
        <f t="shared" si="21"/>
        <v>6096</v>
      </c>
      <c r="K317">
        <f t="shared" si="22"/>
        <v>1460</v>
      </c>
      <c r="L317">
        <f t="shared" si="23"/>
        <v>481584</v>
      </c>
      <c r="M317">
        <f t="shared" si="24"/>
        <v>115340</v>
      </c>
    </row>
    <row r="318" spans="1:13" x14ac:dyDescent="0.3">
      <c r="A318" t="s">
        <v>8</v>
      </c>
      <c r="B318">
        <v>68</v>
      </c>
      <c r="C318">
        <v>199</v>
      </c>
      <c r="D318">
        <v>140</v>
      </c>
      <c r="E318" s="1">
        <v>205.88235294117649</v>
      </c>
      <c r="F318">
        <v>30</v>
      </c>
      <c r="G318">
        <v>2</v>
      </c>
      <c r="H318">
        <v>5400</v>
      </c>
      <c r="I318">
        <f t="shared" si="20"/>
        <v>756000</v>
      </c>
      <c r="J318">
        <f t="shared" si="21"/>
        <v>7718</v>
      </c>
      <c r="K318">
        <f t="shared" si="22"/>
        <v>3082</v>
      </c>
      <c r="L318">
        <f t="shared" si="23"/>
        <v>609722</v>
      </c>
      <c r="M318">
        <f t="shared" si="24"/>
        <v>243478</v>
      </c>
    </row>
    <row r="319" spans="1:13" x14ac:dyDescent="0.3">
      <c r="A319" t="s">
        <v>7</v>
      </c>
      <c r="B319">
        <v>200</v>
      </c>
      <c r="C319">
        <v>549</v>
      </c>
      <c r="D319">
        <v>412</v>
      </c>
      <c r="E319" s="1">
        <v>206</v>
      </c>
      <c r="F319">
        <v>25</v>
      </c>
      <c r="G319">
        <v>2</v>
      </c>
      <c r="H319">
        <v>1274</v>
      </c>
      <c r="I319">
        <f t="shared" si="20"/>
        <v>524888</v>
      </c>
      <c r="J319">
        <f t="shared" si="21"/>
        <v>3592</v>
      </c>
      <c r="K319">
        <f t="shared" si="22"/>
        <v>0</v>
      </c>
      <c r="L319">
        <f t="shared" si="23"/>
        <v>283768</v>
      </c>
      <c r="M319">
        <f t="shared" si="24"/>
        <v>0</v>
      </c>
    </row>
    <row r="320" spans="1:13" x14ac:dyDescent="0.3">
      <c r="A320" t="s">
        <v>7</v>
      </c>
      <c r="B320">
        <v>200</v>
      </c>
      <c r="C320">
        <v>549</v>
      </c>
      <c r="D320">
        <v>415</v>
      </c>
      <c r="E320" s="1">
        <v>207.5</v>
      </c>
      <c r="F320">
        <v>24</v>
      </c>
      <c r="G320">
        <v>2</v>
      </c>
      <c r="H320">
        <v>1147</v>
      </c>
      <c r="I320">
        <f t="shared" si="20"/>
        <v>476005</v>
      </c>
      <c r="J320">
        <f t="shared" si="21"/>
        <v>3465</v>
      </c>
      <c r="K320">
        <f t="shared" si="22"/>
        <v>0</v>
      </c>
      <c r="L320">
        <f t="shared" si="23"/>
        <v>273735</v>
      </c>
      <c r="M320">
        <f t="shared" si="24"/>
        <v>0</v>
      </c>
    </row>
    <row r="321" spans="1:13" x14ac:dyDescent="0.3">
      <c r="A321" t="s">
        <v>8</v>
      </c>
      <c r="B321">
        <v>51</v>
      </c>
      <c r="C321">
        <v>120</v>
      </c>
      <c r="D321">
        <v>107</v>
      </c>
      <c r="E321" s="1">
        <v>209.80392156862749</v>
      </c>
      <c r="F321">
        <v>11</v>
      </c>
      <c r="G321">
        <v>2</v>
      </c>
      <c r="H321">
        <v>3254</v>
      </c>
      <c r="I321">
        <f t="shared" si="20"/>
        <v>348178</v>
      </c>
      <c r="J321">
        <f t="shared" si="21"/>
        <v>5572</v>
      </c>
      <c r="K321">
        <f t="shared" si="22"/>
        <v>936</v>
      </c>
      <c r="L321">
        <f t="shared" si="23"/>
        <v>440188</v>
      </c>
      <c r="M321">
        <f t="shared" si="24"/>
        <v>73944</v>
      </c>
    </row>
    <row r="322" spans="1:13" x14ac:dyDescent="0.3">
      <c r="A322" t="s">
        <v>8</v>
      </c>
      <c r="B322">
        <v>200</v>
      </c>
      <c r="C322">
        <v>495</v>
      </c>
      <c r="D322">
        <v>421</v>
      </c>
      <c r="E322" s="1">
        <v>210.5</v>
      </c>
      <c r="F322">
        <v>15</v>
      </c>
      <c r="G322">
        <v>2</v>
      </c>
      <c r="H322">
        <v>184</v>
      </c>
      <c r="I322">
        <f t="shared" si="20"/>
        <v>77464</v>
      </c>
      <c r="J322">
        <f t="shared" si="21"/>
        <v>2502</v>
      </c>
      <c r="K322">
        <f t="shared" si="22"/>
        <v>0</v>
      </c>
      <c r="L322">
        <f t="shared" si="23"/>
        <v>197658</v>
      </c>
      <c r="M322">
        <f t="shared" si="24"/>
        <v>0</v>
      </c>
    </row>
    <row r="323" spans="1:13" x14ac:dyDescent="0.3">
      <c r="A323" t="s">
        <v>8</v>
      </c>
      <c r="B323">
        <v>200</v>
      </c>
      <c r="C323">
        <v>455</v>
      </c>
      <c r="D323">
        <v>423</v>
      </c>
      <c r="E323" s="1">
        <v>211.5</v>
      </c>
      <c r="F323">
        <v>7</v>
      </c>
      <c r="G323">
        <v>2</v>
      </c>
      <c r="H323">
        <v>1036</v>
      </c>
      <c r="I323">
        <f t="shared" ref="I323:I386" si="25">D323*H323</f>
        <v>438228</v>
      </c>
      <c r="J323">
        <f t="shared" ref="J323:J386" si="26">H323+2318</f>
        <v>3354</v>
      </c>
      <c r="K323">
        <f t="shared" ref="K323:K386" si="27">IF(H323-2318&lt;=0,0,H323-2318)</f>
        <v>0</v>
      </c>
      <c r="L323">
        <f t="shared" ref="L323:L386" si="28">J323*$D$2</f>
        <v>264966</v>
      </c>
      <c r="M323">
        <f t="shared" ref="M323:M386" si="29">K323*$D$2</f>
        <v>0</v>
      </c>
    </row>
    <row r="324" spans="1:13" x14ac:dyDescent="0.3">
      <c r="A324" t="s">
        <v>7</v>
      </c>
      <c r="B324">
        <v>150</v>
      </c>
      <c r="C324">
        <v>379</v>
      </c>
      <c r="D324">
        <v>319</v>
      </c>
      <c r="E324" s="1">
        <v>212.66666666666671</v>
      </c>
      <c r="F324">
        <v>16</v>
      </c>
      <c r="G324">
        <v>2</v>
      </c>
      <c r="H324">
        <v>169</v>
      </c>
      <c r="I324">
        <f t="shared" si="25"/>
        <v>53911</v>
      </c>
      <c r="J324">
        <f t="shared" si="26"/>
        <v>2487</v>
      </c>
      <c r="K324">
        <f t="shared" si="27"/>
        <v>0</v>
      </c>
      <c r="L324">
        <f t="shared" si="28"/>
        <v>196473</v>
      </c>
      <c r="M324">
        <f t="shared" si="29"/>
        <v>0</v>
      </c>
    </row>
    <row r="325" spans="1:13" x14ac:dyDescent="0.3">
      <c r="A325" t="s">
        <v>7</v>
      </c>
      <c r="B325">
        <v>150</v>
      </c>
      <c r="C325">
        <v>379</v>
      </c>
      <c r="D325">
        <v>319</v>
      </c>
      <c r="E325" s="1">
        <v>212.66666666666671</v>
      </c>
      <c r="F325">
        <v>16</v>
      </c>
      <c r="G325">
        <v>2</v>
      </c>
      <c r="H325">
        <v>169</v>
      </c>
      <c r="I325">
        <f t="shared" si="25"/>
        <v>53911</v>
      </c>
      <c r="J325">
        <f t="shared" si="26"/>
        <v>2487</v>
      </c>
      <c r="K325">
        <f t="shared" si="27"/>
        <v>0</v>
      </c>
      <c r="L325">
        <f t="shared" si="28"/>
        <v>196473</v>
      </c>
      <c r="M325">
        <f t="shared" si="29"/>
        <v>0</v>
      </c>
    </row>
    <row r="326" spans="1:13" x14ac:dyDescent="0.3">
      <c r="A326" t="s">
        <v>7</v>
      </c>
      <c r="B326">
        <v>77</v>
      </c>
      <c r="C326">
        <v>239</v>
      </c>
      <c r="D326">
        <v>165</v>
      </c>
      <c r="E326" s="1">
        <v>214.28571428571431</v>
      </c>
      <c r="F326">
        <v>31</v>
      </c>
      <c r="G326">
        <v>2</v>
      </c>
      <c r="H326">
        <v>5704</v>
      </c>
      <c r="I326">
        <f t="shared" si="25"/>
        <v>941160</v>
      </c>
      <c r="J326">
        <f t="shared" si="26"/>
        <v>8022</v>
      </c>
      <c r="K326">
        <f t="shared" si="27"/>
        <v>3386</v>
      </c>
      <c r="L326">
        <f t="shared" si="28"/>
        <v>633738</v>
      </c>
      <c r="M326">
        <f t="shared" si="29"/>
        <v>267494</v>
      </c>
    </row>
    <row r="327" spans="1:13" x14ac:dyDescent="0.3">
      <c r="A327" t="s">
        <v>7</v>
      </c>
      <c r="B327">
        <v>77</v>
      </c>
      <c r="C327">
        <v>239</v>
      </c>
      <c r="D327">
        <v>165</v>
      </c>
      <c r="E327" s="1">
        <v>214.28571428571431</v>
      </c>
      <c r="F327">
        <v>31</v>
      </c>
      <c r="G327">
        <v>2</v>
      </c>
      <c r="H327">
        <v>5704</v>
      </c>
      <c r="I327">
        <f t="shared" si="25"/>
        <v>941160</v>
      </c>
      <c r="J327">
        <f t="shared" si="26"/>
        <v>8022</v>
      </c>
      <c r="K327">
        <f t="shared" si="27"/>
        <v>3386</v>
      </c>
      <c r="L327">
        <f t="shared" si="28"/>
        <v>633738</v>
      </c>
      <c r="M327">
        <f t="shared" si="29"/>
        <v>267494</v>
      </c>
    </row>
    <row r="328" spans="1:13" x14ac:dyDescent="0.3">
      <c r="A328" t="s">
        <v>7</v>
      </c>
      <c r="B328">
        <v>200</v>
      </c>
      <c r="C328">
        <v>499</v>
      </c>
      <c r="D328">
        <v>429</v>
      </c>
      <c r="E328" s="1">
        <v>214.5</v>
      </c>
      <c r="F328">
        <v>14</v>
      </c>
      <c r="G328">
        <v>2</v>
      </c>
      <c r="H328">
        <v>184</v>
      </c>
      <c r="I328">
        <f t="shared" si="25"/>
        <v>78936</v>
      </c>
      <c r="J328">
        <f t="shared" si="26"/>
        <v>2502</v>
      </c>
      <c r="K328">
        <f t="shared" si="27"/>
        <v>0</v>
      </c>
      <c r="L328">
        <f t="shared" si="28"/>
        <v>197658</v>
      </c>
      <c r="M328">
        <f t="shared" si="29"/>
        <v>0</v>
      </c>
    </row>
    <row r="329" spans="1:13" x14ac:dyDescent="0.3">
      <c r="A329" t="s">
        <v>10</v>
      </c>
      <c r="B329">
        <v>1005</v>
      </c>
      <c r="C329">
        <v>2400</v>
      </c>
      <c r="D329">
        <v>2160</v>
      </c>
      <c r="E329" s="1">
        <v>214.9253731343284</v>
      </c>
      <c r="F329">
        <v>10</v>
      </c>
      <c r="G329">
        <v>1</v>
      </c>
      <c r="H329">
        <v>543</v>
      </c>
      <c r="I329">
        <f t="shared" si="25"/>
        <v>1172880</v>
      </c>
      <c r="J329">
        <f t="shared" si="26"/>
        <v>2861</v>
      </c>
      <c r="K329">
        <f t="shared" si="27"/>
        <v>0</v>
      </c>
      <c r="L329">
        <f>J329*$D$2</f>
        <v>226019</v>
      </c>
      <c r="M329">
        <f t="shared" si="29"/>
        <v>0</v>
      </c>
    </row>
    <row r="330" spans="1:13" x14ac:dyDescent="0.3">
      <c r="A330" t="s">
        <v>7</v>
      </c>
      <c r="B330">
        <v>60</v>
      </c>
      <c r="C330">
        <v>149</v>
      </c>
      <c r="D330">
        <v>129</v>
      </c>
      <c r="E330" s="1">
        <v>215</v>
      </c>
      <c r="F330">
        <v>13</v>
      </c>
      <c r="G330">
        <v>2</v>
      </c>
      <c r="H330">
        <v>2644</v>
      </c>
      <c r="I330">
        <f t="shared" si="25"/>
        <v>341076</v>
      </c>
      <c r="J330">
        <f t="shared" si="26"/>
        <v>4962</v>
      </c>
      <c r="K330">
        <f t="shared" si="27"/>
        <v>326</v>
      </c>
      <c r="L330">
        <f t="shared" si="28"/>
        <v>391998</v>
      </c>
      <c r="M330">
        <f t="shared" si="29"/>
        <v>25754</v>
      </c>
    </row>
    <row r="331" spans="1:13" x14ac:dyDescent="0.3">
      <c r="A331" t="s">
        <v>8</v>
      </c>
      <c r="B331">
        <v>150</v>
      </c>
      <c r="C331">
        <v>400</v>
      </c>
      <c r="D331">
        <v>323</v>
      </c>
      <c r="E331" s="1">
        <v>215.33333333333329</v>
      </c>
      <c r="F331">
        <v>19</v>
      </c>
      <c r="G331">
        <v>2</v>
      </c>
      <c r="H331">
        <v>2923</v>
      </c>
      <c r="I331">
        <f t="shared" si="25"/>
        <v>944129</v>
      </c>
      <c r="J331">
        <f t="shared" si="26"/>
        <v>5241</v>
      </c>
      <c r="K331">
        <f t="shared" si="27"/>
        <v>605</v>
      </c>
      <c r="L331">
        <f t="shared" si="28"/>
        <v>414039</v>
      </c>
      <c r="M331">
        <f t="shared" si="29"/>
        <v>47795</v>
      </c>
    </row>
    <row r="332" spans="1:13" x14ac:dyDescent="0.3">
      <c r="A332" t="s">
        <v>7</v>
      </c>
      <c r="B332">
        <v>60</v>
      </c>
      <c r="C332">
        <v>150</v>
      </c>
      <c r="D332">
        <v>130</v>
      </c>
      <c r="E332" s="1">
        <v>216.66666666666671</v>
      </c>
      <c r="F332">
        <v>13</v>
      </c>
      <c r="G332">
        <v>2</v>
      </c>
      <c r="H332">
        <v>2644</v>
      </c>
      <c r="I332">
        <f t="shared" si="25"/>
        <v>343720</v>
      </c>
      <c r="J332">
        <f t="shared" si="26"/>
        <v>4962</v>
      </c>
      <c r="K332">
        <f t="shared" si="27"/>
        <v>326</v>
      </c>
      <c r="L332">
        <f t="shared" si="28"/>
        <v>391998</v>
      </c>
      <c r="M332">
        <f t="shared" si="29"/>
        <v>25754</v>
      </c>
    </row>
    <row r="333" spans="1:13" x14ac:dyDescent="0.3">
      <c r="A333" t="s">
        <v>10</v>
      </c>
      <c r="B333">
        <v>156</v>
      </c>
      <c r="C333">
        <v>375</v>
      </c>
      <c r="D333">
        <v>339</v>
      </c>
      <c r="E333" s="1">
        <v>217.30769230769229</v>
      </c>
      <c r="F333">
        <v>10</v>
      </c>
      <c r="G333">
        <v>2</v>
      </c>
      <c r="H333">
        <v>1048</v>
      </c>
      <c r="I333">
        <f t="shared" si="25"/>
        <v>355272</v>
      </c>
      <c r="J333">
        <f t="shared" si="26"/>
        <v>3366</v>
      </c>
      <c r="K333">
        <f t="shared" si="27"/>
        <v>0</v>
      </c>
      <c r="L333">
        <f t="shared" si="28"/>
        <v>265914</v>
      </c>
      <c r="M333">
        <f t="shared" si="29"/>
        <v>0</v>
      </c>
    </row>
    <row r="334" spans="1:13" x14ac:dyDescent="0.3">
      <c r="A334" t="s">
        <v>7</v>
      </c>
      <c r="B334">
        <v>154</v>
      </c>
      <c r="C334">
        <v>478</v>
      </c>
      <c r="D334">
        <v>336</v>
      </c>
      <c r="E334" s="1">
        <v>218.18181818181819</v>
      </c>
      <c r="F334">
        <v>30</v>
      </c>
      <c r="G334">
        <v>2</v>
      </c>
      <c r="H334">
        <v>2951</v>
      </c>
      <c r="I334">
        <f t="shared" si="25"/>
        <v>991536</v>
      </c>
      <c r="J334">
        <f t="shared" si="26"/>
        <v>5269</v>
      </c>
      <c r="K334">
        <f t="shared" si="27"/>
        <v>633</v>
      </c>
      <c r="L334">
        <f t="shared" si="28"/>
        <v>416251</v>
      </c>
      <c r="M334">
        <f t="shared" si="29"/>
        <v>50007</v>
      </c>
    </row>
    <row r="335" spans="1:13" x14ac:dyDescent="0.3">
      <c r="A335" t="s">
        <v>7</v>
      </c>
      <c r="B335">
        <v>154</v>
      </c>
      <c r="C335">
        <v>478</v>
      </c>
      <c r="D335">
        <v>337</v>
      </c>
      <c r="E335" s="1">
        <v>218.83116883116881</v>
      </c>
      <c r="F335">
        <v>29</v>
      </c>
      <c r="G335">
        <v>2</v>
      </c>
      <c r="H335">
        <v>2957</v>
      </c>
      <c r="I335">
        <f t="shared" si="25"/>
        <v>996509</v>
      </c>
      <c r="J335">
        <f t="shared" si="26"/>
        <v>5275</v>
      </c>
      <c r="K335">
        <f t="shared" si="27"/>
        <v>639</v>
      </c>
      <c r="L335">
        <f t="shared" si="28"/>
        <v>416725</v>
      </c>
      <c r="M335">
        <f t="shared" si="29"/>
        <v>50481</v>
      </c>
    </row>
    <row r="336" spans="1:13" x14ac:dyDescent="0.3">
      <c r="A336" t="s">
        <v>7</v>
      </c>
      <c r="B336">
        <v>40</v>
      </c>
      <c r="C336">
        <v>100</v>
      </c>
      <c r="D336">
        <v>88</v>
      </c>
      <c r="E336" s="1">
        <v>220</v>
      </c>
      <c r="F336">
        <v>12</v>
      </c>
      <c r="G336">
        <v>2</v>
      </c>
      <c r="H336">
        <v>2178</v>
      </c>
      <c r="I336">
        <f t="shared" si="25"/>
        <v>191664</v>
      </c>
      <c r="J336">
        <f t="shared" si="26"/>
        <v>4496</v>
      </c>
      <c r="K336">
        <f t="shared" si="27"/>
        <v>0</v>
      </c>
      <c r="L336">
        <f t="shared" si="28"/>
        <v>355184</v>
      </c>
      <c r="M336">
        <f t="shared" si="29"/>
        <v>0</v>
      </c>
    </row>
    <row r="337" spans="1:13" x14ac:dyDescent="0.3">
      <c r="A337" t="s">
        <v>8</v>
      </c>
      <c r="B337">
        <v>80</v>
      </c>
      <c r="C337">
        <v>239</v>
      </c>
      <c r="D337">
        <v>176</v>
      </c>
      <c r="E337" s="1">
        <v>220</v>
      </c>
      <c r="F337">
        <v>26</v>
      </c>
      <c r="G337">
        <v>2</v>
      </c>
      <c r="H337">
        <v>2184</v>
      </c>
      <c r="I337">
        <f t="shared" si="25"/>
        <v>384384</v>
      </c>
      <c r="J337">
        <f t="shared" si="26"/>
        <v>4502</v>
      </c>
      <c r="K337">
        <f t="shared" si="27"/>
        <v>0</v>
      </c>
      <c r="L337">
        <f t="shared" si="28"/>
        <v>355658</v>
      </c>
      <c r="M337">
        <f t="shared" si="29"/>
        <v>0</v>
      </c>
    </row>
    <row r="338" spans="1:13" x14ac:dyDescent="0.3">
      <c r="A338" t="s">
        <v>8</v>
      </c>
      <c r="B338">
        <v>55</v>
      </c>
      <c r="C338">
        <v>139</v>
      </c>
      <c r="D338">
        <v>121</v>
      </c>
      <c r="E338" s="1">
        <v>220</v>
      </c>
      <c r="F338">
        <v>13</v>
      </c>
      <c r="G338">
        <v>2</v>
      </c>
      <c r="H338">
        <v>2644</v>
      </c>
      <c r="I338">
        <f t="shared" si="25"/>
        <v>319924</v>
      </c>
      <c r="J338">
        <f t="shared" si="26"/>
        <v>4962</v>
      </c>
      <c r="K338">
        <f t="shared" si="27"/>
        <v>326</v>
      </c>
      <c r="L338">
        <f t="shared" si="28"/>
        <v>391998</v>
      </c>
      <c r="M338">
        <f t="shared" si="29"/>
        <v>25754</v>
      </c>
    </row>
    <row r="339" spans="1:13" x14ac:dyDescent="0.3">
      <c r="A339" t="s">
        <v>7</v>
      </c>
      <c r="B339">
        <v>77</v>
      </c>
      <c r="C339">
        <v>239</v>
      </c>
      <c r="D339">
        <v>170</v>
      </c>
      <c r="E339" s="1">
        <v>220.77922077922079</v>
      </c>
      <c r="F339">
        <v>29</v>
      </c>
      <c r="G339">
        <v>2</v>
      </c>
      <c r="H339">
        <v>5691</v>
      </c>
      <c r="I339">
        <f t="shared" si="25"/>
        <v>967470</v>
      </c>
      <c r="J339">
        <f t="shared" si="26"/>
        <v>8009</v>
      </c>
      <c r="K339">
        <f t="shared" si="27"/>
        <v>3373</v>
      </c>
      <c r="L339">
        <f t="shared" si="28"/>
        <v>632711</v>
      </c>
      <c r="M339">
        <f t="shared" si="29"/>
        <v>266467</v>
      </c>
    </row>
    <row r="340" spans="1:13" x14ac:dyDescent="0.3">
      <c r="A340" t="s">
        <v>7</v>
      </c>
      <c r="B340">
        <v>77</v>
      </c>
      <c r="C340">
        <v>239</v>
      </c>
      <c r="D340">
        <v>170</v>
      </c>
      <c r="E340" s="1">
        <v>220.77922077922079</v>
      </c>
      <c r="F340">
        <v>29</v>
      </c>
      <c r="G340">
        <v>2</v>
      </c>
      <c r="H340">
        <v>5691</v>
      </c>
      <c r="I340">
        <f t="shared" si="25"/>
        <v>967470</v>
      </c>
      <c r="J340">
        <f t="shared" si="26"/>
        <v>8009</v>
      </c>
      <c r="K340">
        <f t="shared" si="27"/>
        <v>3373</v>
      </c>
      <c r="L340">
        <f t="shared" si="28"/>
        <v>632711</v>
      </c>
      <c r="M340">
        <f t="shared" si="29"/>
        <v>266467</v>
      </c>
    </row>
    <row r="341" spans="1:13" x14ac:dyDescent="0.3">
      <c r="A341" t="s">
        <v>8</v>
      </c>
      <c r="B341">
        <v>80</v>
      </c>
      <c r="C341">
        <v>239</v>
      </c>
      <c r="D341">
        <v>177</v>
      </c>
      <c r="E341" s="1">
        <v>221.25</v>
      </c>
      <c r="F341">
        <v>26</v>
      </c>
      <c r="G341">
        <v>2</v>
      </c>
      <c r="H341">
        <v>2184</v>
      </c>
      <c r="I341">
        <f t="shared" si="25"/>
        <v>386568</v>
      </c>
      <c r="J341">
        <f t="shared" si="26"/>
        <v>4502</v>
      </c>
      <c r="K341">
        <f t="shared" si="27"/>
        <v>0</v>
      </c>
      <c r="L341">
        <f t="shared" si="28"/>
        <v>355658</v>
      </c>
      <c r="M341">
        <f t="shared" si="29"/>
        <v>0</v>
      </c>
    </row>
    <row r="342" spans="1:13" x14ac:dyDescent="0.3">
      <c r="A342" t="s">
        <v>10</v>
      </c>
      <c r="B342">
        <v>648</v>
      </c>
      <c r="C342">
        <v>1590</v>
      </c>
      <c r="D342">
        <v>1436</v>
      </c>
      <c r="E342" s="1">
        <v>221.60493827160491</v>
      </c>
      <c r="F342">
        <v>10</v>
      </c>
      <c r="G342">
        <v>0</v>
      </c>
      <c r="H342">
        <v>1227</v>
      </c>
      <c r="I342">
        <f t="shared" si="25"/>
        <v>1761972</v>
      </c>
      <c r="J342">
        <f t="shared" si="26"/>
        <v>3545</v>
      </c>
      <c r="K342">
        <f t="shared" si="27"/>
        <v>0</v>
      </c>
      <c r="L342">
        <f t="shared" si="28"/>
        <v>280055</v>
      </c>
      <c r="M342">
        <f t="shared" si="29"/>
        <v>0</v>
      </c>
    </row>
    <row r="343" spans="1:13" x14ac:dyDescent="0.3">
      <c r="A343" t="s">
        <v>10</v>
      </c>
      <c r="B343">
        <v>201</v>
      </c>
      <c r="C343">
        <v>495</v>
      </c>
      <c r="D343">
        <v>447</v>
      </c>
      <c r="E343" s="1">
        <v>222.38805970149249</v>
      </c>
      <c r="F343">
        <v>10</v>
      </c>
      <c r="G343">
        <v>2</v>
      </c>
      <c r="H343">
        <v>994</v>
      </c>
      <c r="I343">
        <f t="shared" si="25"/>
        <v>444318</v>
      </c>
      <c r="J343">
        <f t="shared" si="26"/>
        <v>3312</v>
      </c>
      <c r="K343">
        <f t="shared" si="27"/>
        <v>0</v>
      </c>
      <c r="L343">
        <f t="shared" si="28"/>
        <v>261648</v>
      </c>
      <c r="M343">
        <f t="shared" si="29"/>
        <v>0</v>
      </c>
    </row>
    <row r="344" spans="1:13" x14ac:dyDescent="0.3">
      <c r="A344" t="s">
        <v>10</v>
      </c>
      <c r="B344">
        <v>201</v>
      </c>
      <c r="C344">
        <v>495</v>
      </c>
      <c r="D344">
        <v>447</v>
      </c>
      <c r="E344" s="1">
        <v>222.38805970149249</v>
      </c>
      <c r="F344">
        <v>10</v>
      </c>
      <c r="G344">
        <v>2</v>
      </c>
      <c r="H344">
        <v>994</v>
      </c>
      <c r="I344">
        <f t="shared" si="25"/>
        <v>444318</v>
      </c>
      <c r="J344">
        <f t="shared" si="26"/>
        <v>3312</v>
      </c>
      <c r="K344">
        <f t="shared" si="27"/>
        <v>0</v>
      </c>
      <c r="L344">
        <f t="shared" si="28"/>
        <v>261648</v>
      </c>
      <c r="M344">
        <f t="shared" si="29"/>
        <v>0</v>
      </c>
    </row>
    <row r="345" spans="1:13" x14ac:dyDescent="0.3">
      <c r="A345" t="s">
        <v>10</v>
      </c>
      <c r="B345">
        <v>201</v>
      </c>
      <c r="C345">
        <v>495</v>
      </c>
      <c r="D345">
        <v>447</v>
      </c>
      <c r="E345" s="1">
        <v>222.38805970149249</v>
      </c>
      <c r="F345">
        <v>10</v>
      </c>
      <c r="G345">
        <v>2</v>
      </c>
      <c r="H345">
        <v>994</v>
      </c>
      <c r="I345">
        <f t="shared" si="25"/>
        <v>444318</v>
      </c>
      <c r="J345">
        <f t="shared" si="26"/>
        <v>3312</v>
      </c>
      <c r="K345">
        <f t="shared" si="27"/>
        <v>0</v>
      </c>
      <c r="L345">
        <f t="shared" si="28"/>
        <v>261648</v>
      </c>
      <c r="M345">
        <f t="shared" si="29"/>
        <v>0</v>
      </c>
    </row>
    <row r="346" spans="1:13" x14ac:dyDescent="0.3">
      <c r="A346" t="s">
        <v>10</v>
      </c>
      <c r="B346">
        <v>165</v>
      </c>
      <c r="C346">
        <v>405</v>
      </c>
      <c r="D346">
        <v>367</v>
      </c>
      <c r="E346" s="1">
        <v>222.42424242424241</v>
      </c>
      <c r="F346">
        <v>9</v>
      </c>
      <c r="G346">
        <v>2</v>
      </c>
      <c r="H346">
        <v>1080</v>
      </c>
      <c r="I346">
        <f t="shared" si="25"/>
        <v>396360</v>
      </c>
      <c r="J346">
        <f t="shared" si="26"/>
        <v>3398</v>
      </c>
      <c r="K346">
        <f t="shared" si="27"/>
        <v>0</v>
      </c>
      <c r="L346">
        <f t="shared" si="28"/>
        <v>268442</v>
      </c>
      <c r="M346">
        <f t="shared" si="29"/>
        <v>0</v>
      </c>
    </row>
    <row r="347" spans="1:13" x14ac:dyDescent="0.3">
      <c r="A347" t="s">
        <v>7</v>
      </c>
      <c r="B347">
        <v>200</v>
      </c>
      <c r="C347">
        <v>732</v>
      </c>
      <c r="D347">
        <v>447</v>
      </c>
      <c r="E347" s="1">
        <v>223.5</v>
      </c>
      <c r="F347">
        <v>39</v>
      </c>
      <c r="G347">
        <v>2</v>
      </c>
      <c r="H347">
        <v>868</v>
      </c>
      <c r="I347">
        <f t="shared" si="25"/>
        <v>387996</v>
      </c>
      <c r="J347">
        <f t="shared" si="26"/>
        <v>3186</v>
      </c>
      <c r="K347">
        <f t="shared" si="27"/>
        <v>0</v>
      </c>
      <c r="L347">
        <f t="shared" si="28"/>
        <v>251694</v>
      </c>
      <c r="M347">
        <f t="shared" si="29"/>
        <v>0</v>
      </c>
    </row>
    <row r="348" spans="1:13" x14ac:dyDescent="0.3">
      <c r="A348" t="s">
        <v>10</v>
      </c>
      <c r="B348">
        <v>104</v>
      </c>
      <c r="C348">
        <v>250</v>
      </c>
      <c r="D348">
        <v>233</v>
      </c>
      <c r="E348" s="1">
        <v>224.03846153846149</v>
      </c>
      <c r="F348">
        <v>7</v>
      </c>
      <c r="G348">
        <v>2</v>
      </c>
      <c r="H348">
        <v>1549</v>
      </c>
      <c r="I348">
        <f t="shared" si="25"/>
        <v>360917</v>
      </c>
      <c r="J348">
        <f t="shared" si="26"/>
        <v>3867</v>
      </c>
      <c r="K348">
        <f t="shared" si="27"/>
        <v>0</v>
      </c>
      <c r="L348">
        <f t="shared" si="28"/>
        <v>305493</v>
      </c>
      <c r="M348">
        <f t="shared" si="29"/>
        <v>0</v>
      </c>
    </row>
    <row r="349" spans="1:13" x14ac:dyDescent="0.3">
      <c r="A349" t="s">
        <v>8</v>
      </c>
      <c r="B349">
        <v>80</v>
      </c>
      <c r="C349">
        <v>225</v>
      </c>
      <c r="D349">
        <v>180</v>
      </c>
      <c r="E349" s="1">
        <v>225</v>
      </c>
      <c r="F349">
        <v>20</v>
      </c>
      <c r="G349">
        <v>2</v>
      </c>
      <c r="H349">
        <v>1459</v>
      </c>
      <c r="I349">
        <f t="shared" si="25"/>
        <v>262620</v>
      </c>
      <c r="J349">
        <f t="shared" si="26"/>
        <v>3777</v>
      </c>
      <c r="K349">
        <f t="shared" si="27"/>
        <v>0</v>
      </c>
      <c r="L349">
        <f t="shared" si="28"/>
        <v>298383</v>
      </c>
      <c r="M349">
        <f t="shared" si="29"/>
        <v>0</v>
      </c>
    </row>
    <row r="350" spans="1:13" x14ac:dyDescent="0.3">
      <c r="A350" t="s">
        <v>8</v>
      </c>
      <c r="B350">
        <v>80</v>
      </c>
      <c r="C350">
        <v>225</v>
      </c>
      <c r="D350">
        <v>180</v>
      </c>
      <c r="E350" s="1">
        <v>225</v>
      </c>
      <c r="F350">
        <v>20</v>
      </c>
      <c r="G350">
        <v>2</v>
      </c>
      <c r="H350">
        <v>1459</v>
      </c>
      <c r="I350">
        <f t="shared" si="25"/>
        <v>262620</v>
      </c>
      <c r="J350">
        <f t="shared" si="26"/>
        <v>3777</v>
      </c>
      <c r="K350">
        <f t="shared" si="27"/>
        <v>0</v>
      </c>
      <c r="L350">
        <f t="shared" si="28"/>
        <v>298383</v>
      </c>
      <c r="M350">
        <f t="shared" si="29"/>
        <v>0</v>
      </c>
    </row>
    <row r="351" spans="1:13" x14ac:dyDescent="0.3">
      <c r="A351" t="s">
        <v>10</v>
      </c>
      <c r="B351">
        <v>335</v>
      </c>
      <c r="C351">
        <v>800</v>
      </c>
      <c r="D351">
        <v>760</v>
      </c>
      <c r="E351" s="1">
        <v>226.86567164179101</v>
      </c>
      <c r="F351">
        <v>5</v>
      </c>
      <c r="G351">
        <v>0</v>
      </c>
      <c r="H351">
        <v>1100</v>
      </c>
      <c r="I351">
        <f t="shared" si="25"/>
        <v>836000</v>
      </c>
      <c r="J351">
        <f t="shared" si="26"/>
        <v>3418</v>
      </c>
      <c r="K351">
        <f t="shared" si="27"/>
        <v>0</v>
      </c>
      <c r="L351">
        <f t="shared" si="28"/>
        <v>270022</v>
      </c>
      <c r="M351">
        <f t="shared" si="29"/>
        <v>0</v>
      </c>
    </row>
    <row r="352" spans="1:13" x14ac:dyDescent="0.3">
      <c r="A352" t="s">
        <v>10</v>
      </c>
      <c r="B352">
        <v>432</v>
      </c>
      <c r="C352">
        <v>1060</v>
      </c>
      <c r="D352">
        <v>989</v>
      </c>
      <c r="E352" s="1">
        <v>228.93518518518519</v>
      </c>
      <c r="F352">
        <v>7</v>
      </c>
      <c r="G352">
        <v>0</v>
      </c>
      <c r="H352">
        <v>1227</v>
      </c>
      <c r="I352">
        <f t="shared" si="25"/>
        <v>1213503</v>
      </c>
      <c r="J352">
        <f t="shared" si="26"/>
        <v>3545</v>
      </c>
      <c r="K352">
        <f t="shared" si="27"/>
        <v>0</v>
      </c>
      <c r="L352">
        <f t="shared" si="28"/>
        <v>280055</v>
      </c>
      <c r="M352">
        <f t="shared" si="29"/>
        <v>0</v>
      </c>
    </row>
    <row r="353" spans="1:13" x14ac:dyDescent="0.3">
      <c r="A353" t="s">
        <v>10</v>
      </c>
      <c r="B353">
        <v>134</v>
      </c>
      <c r="C353">
        <v>330</v>
      </c>
      <c r="D353">
        <v>308</v>
      </c>
      <c r="E353" s="1">
        <v>229.85074626865671</v>
      </c>
      <c r="F353">
        <v>7</v>
      </c>
      <c r="G353">
        <v>2</v>
      </c>
      <c r="H353">
        <v>1309</v>
      </c>
      <c r="I353">
        <f t="shared" si="25"/>
        <v>403172</v>
      </c>
      <c r="J353">
        <f t="shared" si="26"/>
        <v>3627</v>
      </c>
      <c r="K353">
        <f t="shared" si="27"/>
        <v>0</v>
      </c>
      <c r="L353">
        <f t="shared" si="28"/>
        <v>286533</v>
      </c>
      <c r="M353">
        <f t="shared" si="29"/>
        <v>0</v>
      </c>
    </row>
    <row r="354" spans="1:13" x14ac:dyDescent="0.3">
      <c r="A354" t="s">
        <v>10</v>
      </c>
      <c r="B354">
        <v>134</v>
      </c>
      <c r="C354">
        <v>330</v>
      </c>
      <c r="D354">
        <v>308</v>
      </c>
      <c r="E354" s="1">
        <v>229.85074626865671</v>
      </c>
      <c r="F354">
        <v>7</v>
      </c>
      <c r="G354">
        <v>2</v>
      </c>
      <c r="H354">
        <v>1309</v>
      </c>
      <c r="I354">
        <f t="shared" si="25"/>
        <v>403172</v>
      </c>
      <c r="J354">
        <f t="shared" si="26"/>
        <v>3627</v>
      </c>
      <c r="K354">
        <f t="shared" si="27"/>
        <v>0</v>
      </c>
      <c r="L354">
        <f t="shared" si="28"/>
        <v>286533</v>
      </c>
      <c r="M354">
        <f t="shared" si="29"/>
        <v>0</v>
      </c>
    </row>
    <row r="355" spans="1:13" x14ac:dyDescent="0.3">
      <c r="A355" t="s">
        <v>10</v>
      </c>
      <c r="B355">
        <v>134</v>
      </c>
      <c r="C355">
        <v>330</v>
      </c>
      <c r="D355">
        <v>308</v>
      </c>
      <c r="E355" s="1">
        <v>229.85074626865671</v>
      </c>
      <c r="F355">
        <v>7</v>
      </c>
      <c r="G355">
        <v>2</v>
      </c>
      <c r="H355">
        <v>1309</v>
      </c>
      <c r="I355">
        <f t="shared" si="25"/>
        <v>403172</v>
      </c>
      <c r="J355">
        <f t="shared" si="26"/>
        <v>3627</v>
      </c>
      <c r="K355">
        <f t="shared" si="27"/>
        <v>0</v>
      </c>
      <c r="L355">
        <f t="shared" si="28"/>
        <v>286533</v>
      </c>
      <c r="M355">
        <f t="shared" si="29"/>
        <v>0</v>
      </c>
    </row>
    <row r="356" spans="1:13" x14ac:dyDescent="0.3">
      <c r="A356" t="s">
        <v>10</v>
      </c>
      <c r="B356">
        <v>110</v>
      </c>
      <c r="C356">
        <v>270</v>
      </c>
      <c r="D356">
        <v>253</v>
      </c>
      <c r="E356" s="1">
        <v>230</v>
      </c>
      <c r="F356">
        <v>6</v>
      </c>
      <c r="G356">
        <v>2</v>
      </c>
      <c r="H356">
        <v>168</v>
      </c>
      <c r="I356">
        <f t="shared" si="25"/>
        <v>42504</v>
      </c>
      <c r="J356">
        <f t="shared" si="26"/>
        <v>2486</v>
      </c>
      <c r="K356">
        <f t="shared" si="27"/>
        <v>0</v>
      </c>
      <c r="L356">
        <f t="shared" si="28"/>
        <v>196394</v>
      </c>
      <c r="M356">
        <f t="shared" si="29"/>
        <v>0</v>
      </c>
    </row>
    <row r="357" spans="1:13" x14ac:dyDescent="0.3">
      <c r="A357" t="s">
        <v>7</v>
      </c>
      <c r="B357">
        <v>110</v>
      </c>
      <c r="C357">
        <v>318</v>
      </c>
      <c r="D357">
        <v>255</v>
      </c>
      <c r="E357" s="1">
        <v>231.81818181818181</v>
      </c>
      <c r="F357">
        <v>20</v>
      </c>
      <c r="G357">
        <v>2</v>
      </c>
      <c r="H357">
        <v>0</v>
      </c>
      <c r="I357">
        <f t="shared" si="25"/>
        <v>0</v>
      </c>
      <c r="J357">
        <f t="shared" si="26"/>
        <v>2318</v>
      </c>
      <c r="K357">
        <f t="shared" si="27"/>
        <v>0</v>
      </c>
      <c r="L357">
        <f t="shared" si="28"/>
        <v>183122</v>
      </c>
      <c r="M357">
        <f t="shared" si="29"/>
        <v>0</v>
      </c>
    </row>
    <row r="358" spans="1:13" x14ac:dyDescent="0.3">
      <c r="A358" t="s">
        <v>7</v>
      </c>
      <c r="B358">
        <v>154</v>
      </c>
      <c r="C358">
        <v>478</v>
      </c>
      <c r="D358">
        <v>358</v>
      </c>
      <c r="E358" s="1">
        <v>232.46753246753249</v>
      </c>
      <c r="F358">
        <v>25</v>
      </c>
      <c r="G358">
        <v>2</v>
      </c>
      <c r="H358">
        <v>353</v>
      </c>
      <c r="I358">
        <f t="shared" si="25"/>
        <v>126374</v>
      </c>
      <c r="J358">
        <f t="shared" si="26"/>
        <v>2671</v>
      </c>
      <c r="K358">
        <f t="shared" si="27"/>
        <v>0</v>
      </c>
      <c r="L358">
        <f t="shared" si="28"/>
        <v>211009</v>
      </c>
      <c r="M358">
        <f t="shared" si="29"/>
        <v>0</v>
      </c>
    </row>
    <row r="359" spans="1:13" x14ac:dyDescent="0.3">
      <c r="A359" t="s">
        <v>10</v>
      </c>
      <c r="B359">
        <v>55</v>
      </c>
      <c r="C359">
        <v>135</v>
      </c>
      <c r="D359">
        <v>128</v>
      </c>
      <c r="E359" s="1">
        <v>232.72727272727269</v>
      </c>
      <c r="F359">
        <v>5</v>
      </c>
      <c r="G359">
        <v>2</v>
      </c>
      <c r="H359">
        <v>2644</v>
      </c>
      <c r="I359">
        <f t="shared" si="25"/>
        <v>338432</v>
      </c>
      <c r="J359">
        <f t="shared" si="26"/>
        <v>4962</v>
      </c>
      <c r="K359">
        <f t="shared" si="27"/>
        <v>326</v>
      </c>
      <c r="L359">
        <f t="shared" si="28"/>
        <v>391998</v>
      </c>
      <c r="M359">
        <f t="shared" si="29"/>
        <v>25754</v>
      </c>
    </row>
    <row r="360" spans="1:13" x14ac:dyDescent="0.3">
      <c r="A360" t="s">
        <v>10</v>
      </c>
      <c r="B360">
        <v>216</v>
      </c>
      <c r="C360">
        <v>530</v>
      </c>
      <c r="D360">
        <v>504</v>
      </c>
      <c r="E360" s="1">
        <v>233.33333333333329</v>
      </c>
      <c r="F360">
        <v>5</v>
      </c>
      <c r="G360">
        <v>2</v>
      </c>
      <c r="H360">
        <v>1030</v>
      </c>
      <c r="I360">
        <f t="shared" si="25"/>
        <v>519120</v>
      </c>
      <c r="J360">
        <f t="shared" si="26"/>
        <v>3348</v>
      </c>
      <c r="K360">
        <f t="shared" si="27"/>
        <v>0</v>
      </c>
      <c r="L360">
        <f t="shared" si="28"/>
        <v>264492</v>
      </c>
      <c r="M360">
        <f t="shared" si="29"/>
        <v>0</v>
      </c>
    </row>
    <row r="361" spans="1:13" x14ac:dyDescent="0.3">
      <c r="A361" t="s">
        <v>10</v>
      </c>
      <c r="B361">
        <v>67</v>
      </c>
      <c r="C361">
        <v>165</v>
      </c>
      <c r="D361">
        <v>157</v>
      </c>
      <c r="E361" s="1">
        <v>234.32835820895519</v>
      </c>
      <c r="F361">
        <v>5</v>
      </c>
      <c r="G361">
        <v>2</v>
      </c>
      <c r="H361">
        <v>3018</v>
      </c>
      <c r="I361">
        <f t="shared" si="25"/>
        <v>473826</v>
      </c>
      <c r="J361">
        <f t="shared" si="26"/>
        <v>5336</v>
      </c>
      <c r="K361">
        <f t="shared" si="27"/>
        <v>700</v>
      </c>
      <c r="L361">
        <f t="shared" si="28"/>
        <v>421544</v>
      </c>
      <c r="M361">
        <f t="shared" si="29"/>
        <v>55300</v>
      </c>
    </row>
    <row r="362" spans="1:13" x14ac:dyDescent="0.3">
      <c r="A362" t="s">
        <v>10</v>
      </c>
      <c r="B362">
        <v>67</v>
      </c>
      <c r="C362">
        <v>165</v>
      </c>
      <c r="D362">
        <v>157</v>
      </c>
      <c r="E362" s="1">
        <v>234.32835820895519</v>
      </c>
      <c r="F362">
        <v>5</v>
      </c>
      <c r="G362">
        <v>2</v>
      </c>
      <c r="H362">
        <v>3018</v>
      </c>
      <c r="I362">
        <f t="shared" si="25"/>
        <v>473826</v>
      </c>
      <c r="J362">
        <f t="shared" si="26"/>
        <v>5336</v>
      </c>
      <c r="K362">
        <f t="shared" si="27"/>
        <v>700</v>
      </c>
      <c r="L362">
        <f t="shared" si="28"/>
        <v>421544</v>
      </c>
      <c r="M362">
        <f t="shared" si="29"/>
        <v>55300</v>
      </c>
    </row>
    <row r="363" spans="1:13" x14ac:dyDescent="0.3">
      <c r="A363" t="s">
        <v>10</v>
      </c>
      <c r="B363">
        <v>67</v>
      </c>
      <c r="C363">
        <v>165</v>
      </c>
      <c r="D363">
        <v>157</v>
      </c>
      <c r="E363" s="1">
        <v>234.32835820895519</v>
      </c>
      <c r="F363">
        <v>5</v>
      </c>
      <c r="G363">
        <v>2</v>
      </c>
      <c r="H363">
        <v>3018</v>
      </c>
      <c r="I363">
        <f t="shared" si="25"/>
        <v>473826</v>
      </c>
      <c r="J363">
        <f t="shared" si="26"/>
        <v>5336</v>
      </c>
      <c r="K363">
        <f t="shared" si="27"/>
        <v>700</v>
      </c>
      <c r="L363">
        <f t="shared" si="28"/>
        <v>421544</v>
      </c>
      <c r="M363">
        <f t="shared" si="29"/>
        <v>55300</v>
      </c>
    </row>
    <row r="364" spans="1:13" x14ac:dyDescent="0.3">
      <c r="A364" t="s">
        <v>10</v>
      </c>
      <c r="B364">
        <v>67</v>
      </c>
      <c r="C364">
        <v>165</v>
      </c>
      <c r="D364">
        <v>157</v>
      </c>
      <c r="E364" s="1">
        <v>234.32835820895519</v>
      </c>
      <c r="F364">
        <v>4</v>
      </c>
      <c r="G364">
        <v>2</v>
      </c>
      <c r="H364">
        <v>3035</v>
      </c>
      <c r="I364">
        <f t="shared" si="25"/>
        <v>476495</v>
      </c>
      <c r="J364">
        <f t="shared" si="26"/>
        <v>5353</v>
      </c>
      <c r="K364">
        <f t="shared" si="27"/>
        <v>717</v>
      </c>
      <c r="L364">
        <f t="shared" si="28"/>
        <v>422887</v>
      </c>
      <c r="M364">
        <f t="shared" si="29"/>
        <v>56643</v>
      </c>
    </row>
    <row r="365" spans="1:13" x14ac:dyDescent="0.3">
      <c r="A365" t="s">
        <v>10</v>
      </c>
      <c r="B365">
        <v>67</v>
      </c>
      <c r="C365">
        <v>165</v>
      </c>
      <c r="D365">
        <v>157</v>
      </c>
      <c r="E365" s="1">
        <v>234.32835820895519</v>
      </c>
      <c r="F365">
        <v>4</v>
      </c>
      <c r="G365">
        <v>2</v>
      </c>
      <c r="H365">
        <v>3035</v>
      </c>
      <c r="I365">
        <f t="shared" si="25"/>
        <v>476495</v>
      </c>
      <c r="J365">
        <f t="shared" si="26"/>
        <v>5353</v>
      </c>
      <c r="K365">
        <f t="shared" si="27"/>
        <v>717</v>
      </c>
      <c r="L365">
        <f t="shared" si="28"/>
        <v>422887</v>
      </c>
      <c r="M365">
        <f t="shared" si="29"/>
        <v>56643</v>
      </c>
    </row>
    <row r="366" spans="1:13" x14ac:dyDescent="0.3">
      <c r="A366" t="s">
        <v>7</v>
      </c>
      <c r="B366">
        <v>55</v>
      </c>
      <c r="C366">
        <v>159</v>
      </c>
      <c r="D366">
        <v>129</v>
      </c>
      <c r="E366" s="1">
        <v>234.5454545454545</v>
      </c>
      <c r="F366">
        <v>19</v>
      </c>
      <c r="G366">
        <v>2</v>
      </c>
      <c r="H366">
        <v>3586</v>
      </c>
      <c r="I366">
        <f t="shared" si="25"/>
        <v>462594</v>
      </c>
      <c r="J366">
        <f t="shared" si="26"/>
        <v>5904</v>
      </c>
      <c r="K366">
        <f t="shared" si="27"/>
        <v>1268</v>
      </c>
      <c r="L366">
        <f t="shared" si="28"/>
        <v>466416</v>
      </c>
      <c r="M366">
        <f t="shared" si="29"/>
        <v>100172</v>
      </c>
    </row>
    <row r="367" spans="1:13" x14ac:dyDescent="0.3">
      <c r="A367" t="s">
        <v>10</v>
      </c>
      <c r="B367">
        <v>52</v>
      </c>
      <c r="C367">
        <v>125</v>
      </c>
      <c r="D367">
        <v>122</v>
      </c>
      <c r="E367" s="1">
        <v>234.61538461538461</v>
      </c>
      <c r="F367">
        <v>2</v>
      </c>
      <c r="G367">
        <v>2</v>
      </c>
      <c r="H367">
        <v>2661</v>
      </c>
      <c r="I367">
        <f t="shared" si="25"/>
        <v>324642</v>
      </c>
      <c r="J367">
        <f t="shared" si="26"/>
        <v>4979</v>
      </c>
      <c r="K367">
        <f t="shared" si="27"/>
        <v>343</v>
      </c>
      <c r="L367">
        <f t="shared" si="28"/>
        <v>393341</v>
      </c>
      <c r="M367">
        <f t="shared" si="29"/>
        <v>27097</v>
      </c>
    </row>
    <row r="368" spans="1:13" x14ac:dyDescent="0.3">
      <c r="A368" t="s">
        <v>7</v>
      </c>
      <c r="B368">
        <v>77</v>
      </c>
      <c r="C368">
        <v>239</v>
      </c>
      <c r="D368">
        <v>181</v>
      </c>
      <c r="E368" s="1">
        <v>235.0649350649351</v>
      </c>
      <c r="F368">
        <v>24</v>
      </c>
      <c r="G368">
        <v>2</v>
      </c>
      <c r="H368">
        <v>1419</v>
      </c>
      <c r="I368">
        <f t="shared" si="25"/>
        <v>256839</v>
      </c>
      <c r="J368">
        <f t="shared" si="26"/>
        <v>3737</v>
      </c>
      <c r="K368">
        <f t="shared" si="27"/>
        <v>0</v>
      </c>
      <c r="L368">
        <f t="shared" si="28"/>
        <v>295223</v>
      </c>
      <c r="M368">
        <f t="shared" si="29"/>
        <v>0</v>
      </c>
    </row>
    <row r="369" spans="1:13" x14ac:dyDescent="0.3">
      <c r="A369" t="s">
        <v>7</v>
      </c>
      <c r="B369">
        <v>60</v>
      </c>
      <c r="C369">
        <v>150</v>
      </c>
      <c r="D369">
        <v>142</v>
      </c>
      <c r="E369" s="1">
        <v>236.66666666666671</v>
      </c>
      <c r="F369">
        <v>5</v>
      </c>
      <c r="G369">
        <v>2</v>
      </c>
      <c r="H369">
        <v>2644</v>
      </c>
      <c r="I369">
        <f t="shared" si="25"/>
        <v>375448</v>
      </c>
      <c r="J369">
        <f t="shared" si="26"/>
        <v>4962</v>
      </c>
      <c r="K369">
        <f t="shared" si="27"/>
        <v>326</v>
      </c>
      <c r="L369">
        <f t="shared" si="28"/>
        <v>391998</v>
      </c>
      <c r="M369">
        <f t="shared" si="29"/>
        <v>25754</v>
      </c>
    </row>
    <row r="370" spans="1:13" x14ac:dyDescent="0.3">
      <c r="A370" t="s">
        <v>7</v>
      </c>
      <c r="B370">
        <v>60</v>
      </c>
      <c r="C370">
        <v>150</v>
      </c>
      <c r="D370">
        <v>142</v>
      </c>
      <c r="E370" s="1">
        <v>236.66666666666671</v>
      </c>
      <c r="F370">
        <v>5</v>
      </c>
      <c r="G370">
        <v>2</v>
      </c>
      <c r="H370">
        <v>2644</v>
      </c>
      <c r="I370">
        <f t="shared" si="25"/>
        <v>375448</v>
      </c>
      <c r="J370">
        <f t="shared" si="26"/>
        <v>4962</v>
      </c>
      <c r="K370">
        <f t="shared" si="27"/>
        <v>326</v>
      </c>
      <c r="L370">
        <f t="shared" si="28"/>
        <v>391998</v>
      </c>
      <c r="M370">
        <f t="shared" si="29"/>
        <v>25754</v>
      </c>
    </row>
    <row r="371" spans="1:13" x14ac:dyDescent="0.3">
      <c r="A371" t="s">
        <v>7</v>
      </c>
      <c r="B371">
        <v>40</v>
      </c>
      <c r="C371">
        <v>100</v>
      </c>
      <c r="D371">
        <v>95</v>
      </c>
      <c r="E371" s="1">
        <v>237.5</v>
      </c>
      <c r="F371">
        <v>5</v>
      </c>
      <c r="G371">
        <v>2</v>
      </c>
      <c r="H371">
        <v>2178</v>
      </c>
      <c r="I371">
        <f t="shared" si="25"/>
        <v>206910</v>
      </c>
      <c r="J371">
        <f t="shared" si="26"/>
        <v>4496</v>
      </c>
      <c r="K371">
        <f t="shared" si="27"/>
        <v>0</v>
      </c>
      <c r="L371">
        <f t="shared" si="28"/>
        <v>355184</v>
      </c>
      <c r="M371">
        <f t="shared" si="29"/>
        <v>0</v>
      </c>
    </row>
    <row r="372" spans="1:13" x14ac:dyDescent="0.3">
      <c r="A372" t="s">
        <v>8</v>
      </c>
      <c r="B372">
        <v>80</v>
      </c>
      <c r="C372">
        <v>239</v>
      </c>
      <c r="D372">
        <v>191</v>
      </c>
      <c r="E372" s="1">
        <v>238.75</v>
      </c>
      <c r="F372">
        <v>20</v>
      </c>
      <c r="G372">
        <v>2</v>
      </c>
      <c r="H372">
        <v>1438</v>
      </c>
      <c r="I372">
        <f t="shared" si="25"/>
        <v>274658</v>
      </c>
      <c r="J372">
        <f t="shared" si="26"/>
        <v>3756</v>
      </c>
      <c r="K372">
        <f t="shared" si="27"/>
        <v>0</v>
      </c>
      <c r="L372">
        <f t="shared" si="28"/>
        <v>296724</v>
      </c>
      <c r="M372">
        <f t="shared" si="29"/>
        <v>0</v>
      </c>
    </row>
    <row r="373" spans="1:13" x14ac:dyDescent="0.3">
      <c r="A373" t="s">
        <v>8</v>
      </c>
      <c r="B373">
        <v>80</v>
      </c>
      <c r="C373">
        <v>239</v>
      </c>
      <c r="D373">
        <v>192</v>
      </c>
      <c r="E373" s="1">
        <v>240</v>
      </c>
      <c r="F373">
        <v>20</v>
      </c>
      <c r="G373">
        <v>2</v>
      </c>
      <c r="H373">
        <v>1438</v>
      </c>
      <c r="I373">
        <f t="shared" si="25"/>
        <v>276096</v>
      </c>
      <c r="J373">
        <f t="shared" si="26"/>
        <v>3756</v>
      </c>
      <c r="K373">
        <f t="shared" si="27"/>
        <v>0</v>
      </c>
      <c r="L373">
        <f t="shared" si="28"/>
        <v>296724</v>
      </c>
      <c r="M373">
        <f t="shared" si="29"/>
        <v>0</v>
      </c>
    </row>
    <row r="374" spans="1:13" x14ac:dyDescent="0.3">
      <c r="A374" t="s">
        <v>8</v>
      </c>
      <c r="B374">
        <v>80</v>
      </c>
      <c r="C374">
        <v>239</v>
      </c>
      <c r="D374">
        <v>192</v>
      </c>
      <c r="E374" s="1">
        <v>240</v>
      </c>
      <c r="F374">
        <v>20</v>
      </c>
      <c r="G374">
        <v>2</v>
      </c>
      <c r="H374">
        <v>1438</v>
      </c>
      <c r="I374">
        <f t="shared" si="25"/>
        <v>276096</v>
      </c>
      <c r="J374">
        <f t="shared" si="26"/>
        <v>3756</v>
      </c>
      <c r="K374">
        <f t="shared" si="27"/>
        <v>0</v>
      </c>
      <c r="L374">
        <f t="shared" si="28"/>
        <v>296724</v>
      </c>
      <c r="M374">
        <f t="shared" si="29"/>
        <v>0</v>
      </c>
    </row>
    <row r="375" spans="1:13" x14ac:dyDescent="0.3">
      <c r="A375" t="s">
        <v>10</v>
      </c>
      <c r="B375">
        <v>201</v>
      </c>
      <c r="C375">
        <v>540</v>
      </c>
      <c r="D375">
        <v>488</v>
      </c>
      <c r="E375" s="1">
        <v>242.78606965174129</v>
      </c>
      <c r="F375">
        <v>10</v>
      </c>
      <c r="G375">
        <v>2</v>
      </c>
      <c r="H375">
        <v>994</v>
      </c>
      <c r="I375">
        <f t="shared" si="25"/>
        <v>485072</v>
      </c>
      <c r="J375">
        <f t="shared" si="26"/>
        <v>3312</v>
      </c>
      <c r="K375">
        <f t="shared" si="27"/>
        <v>0</v>
      </c>
      <c r="L375">
        <f t="shared" si="28"/>
        <v>261648</v>
      </c>
      <c r="M375">
        <f t="shared" si="29"/>
        <v>0</v>
      </c>
    </row>
    <row r="376" spans="1:13" x14ac:dyDescent="0.3">
      <c r="A376" t="s">
        <v>7</v>
      </c>
      <c r="B376">
        <v>72</v>
      </c>
      <c r="C376">
        <v>198</v>
      </c>
      <c r="D376">
        <v>176</v>
      </c>
      <c r="E376" s="1">
        <v>244.44444444444451</v>
      </c>
      <c r="F376">
        <v>11</v>
      </c>
      <c r="G376">
        <v>2</v>
      </c>
      <c r="H376">
        <v>1364</v>
      </c>
      <c r="I376">
        <f t="shared" si="25"/>
        <v>240064</v>
      </c>
      <c r="J376">
        <f t="shared" si="26"/>
        <v>3682</v>
      </c>
      <c r="K376">
        <f t="shared" si="27"/>
        <v>0</v>
      </c>
      <c r="L376">
        <f t="shared" si="28"/>
        <v>290878</v>
      </c>
      <c r="M376">
        <f t="shared" si="29"/>
        <v>0</v>
      </c>
    </row>
    <row r="377" spans="1:13" x14ac:dyDescent="0.3">
      <c r="A377" t="s">
        <v>7</v>
      </c>
      <c r="B377">
        <v>72</v>
      </c>
      <c r="C377">
        <v>198</v>
      </c>
      <c r="D377">
        <v>176</v>
      </c>
      <c r="E377" s="1">
        <v>244.44444444444451</v>
      </c>
      <c r="F377">
        <v>11</v>
      </c>
      <c r="G377">
        <v>2</v>
      </c>
      <c r="H377">
        <v>1364</v>
      </c>
      <c r="I377">
        <f t="shared" si="25"/>
        <v>240064</v>
      </c>
      <c r="J377">
        <f t="shared" si="26"/>
        <v>3682</v>
      </c>
      <c r="K377">
        <f t="shared" si="27"/>
        <v>0</v>
      </c>
      <c r="L377">
        <f t="shared" si="28"/>
        <v>290878</v>
      </c>
      <c r="M377">
        <f t="shared" si="29"/>
        <v>0</v>
      </c>
    </row>
    <row r="378" spans="1:13" x14ac:dyDescent="0.3">
      <c r="A378" t="s">
        <v>7</v>
      </c>
      <c r="B378">
        <v>20</v>
      </c>
      <c r="C378">
        <v>50</v>
      </c>
      <c r="D378">
        <v>49</v>
      </c>
      <c r="E378" s="1">
        <v>245</v>
      </c>
      <c r="F378">
        <v>2</v>
      </c>
      <c r="G378">
        <v>2</v>
      </c>
      <c r="H378">
        <v>1660</v>
      </c>
      <c r="I378">
        <f t="shared" si="25"/>
        <v>81340</v>
      </c>
      <c r="J378">
        <f t="shared" si="26"/>
        <v>3978</v>
      </c>
      <c r="K378">
        <f t="shared" si="27"/>
        <v>0</v>
      </c>
      <c r="L378">
        <f t="shared" si="28"/>
        <v>314262</v>
      </c>
      <c r="M378">
        <f t="shared" si="29"/>
        <v>0</v>
      </c>
    </row>
    <row r="379" spans="1:13" x14ac:dyDescent="0.3">
      <c r="A379" t="s">
        <v>7</v>
      </c>
      <c r="B379">
        <v>20</v>
      </c>
      <c r="C379">
        <v>50</v>
      </c>
      <c r="D379">
        <v>49</v>
      </c>
      <c r="E379" s="1">
        <v>245</v>
      </c>
      <c r="F379">
        <v>2</v>
      </c>
      <c r="G379">
        <v>2</v>
      </c>
      <c r="H379">
        <v>1660</v>
      </c>
      <c r="I379">
        <f t="shared" si="25"/>
        <v>81340</v>
      </c>
      <c r="J379">
        <f t="shared" si="26"/>
        <v>3978</v>
      </c>
      <c r="K379">
        <f t="shared" si="27"/>
        <v>0</v>
      </c>
      <c r="L379">
        <f t="shared" si="28"/>
        <v>314262</v>
      </c>
      <c r="M379">
        <f t="shared" si="29"/>
        <v>0</v>
      </c>
    </row>
    <row r="380" spans="1:13" x14ac:dyDescent="0.3">
      <c r="A380" t="s">
        <v>7</v>
      </c>
      <c r="B380">
        <v>20</v>
      </c>
      <c r="C380">
        <v>50</v>
      </c>
      <c r="D380">
        <v>49</v>
      </c>
      <c r="E380" s="1">
        <v>245</v>
      </c>
      <c r="F380">
        <v>2</v>
      </c>
      <c r="G380">
        <v>2</v>
      </c>
      <c r="H380">
        <v>1660</v>
      </c>
      <c r="I380">
        <f t="shared" si="25"/>
        <v>81340</v>
      </c>
      <c r="J380">
        <f t="shared" si="26"/>
        <v>3978</v>
      </c>
      <c r="K380">
        <f t="shared" si="27"/>
        <v>0</v>
      </c>
      <c r="L380">
        <f t="shared" si="28"/>
        <v>314262</v>
      </c>
      <c r="M380">
        <f t="shared" si="29"/>
        <v>0</v>
      </c>
    </row>
    <row r="381" spans="1:13" x14ac:dyDescent="0.3">
      <c r="A381" t="s">
        <v>7</v>
      </c>
      <c r="B381">
        <v>20</v>
      </c>
      <c r="C381">
        <v>50</v>
      </c>
      <c r="D381">
        <v>49</v>
      </c>
      <c r="E381" s="1">
        <v>245</v>
      </c>
      <c r="F381">
        <v>2</v>
      </c>
      <c r="G381">
        <v>2</v>
      </c>
      <c r="H381">
        <v>1660</v>
      </c>
      <c r="I381">
        <f t="shared" si="25"/>
        <v>81340</v>
      </c>
      <c r="J381">
        <f t="shared" si="26"/>
        <v>3978</v>
      </c>
      <c r="K381">
        <f t="shared" si="27"/>
        <v>0</v>
      </c>
      <c r="L381">
        <f t="shared" si="28"/>
        <v>314262</v>
      </c>
      <c r="M381">
        <f t="shared" si="29"/>
        <v>0</v>
      </c>
    </row>
    <row r="382" spans="1:13" x14ac:dyDescent="0.3">
      <c r="A382" t="s">
        <v>7</v>
      </c>
      <c r="B382">
        <v>36</v>
      </c>
      <c r="C382">
        <v>99</v>
      </c>
      <c r="D382">
        <v>89</v>
      </c>
      <c r="E382" s="1">
        <v>247.2222222222222</v>
      </c>
      <c r="F382">
        <v>10</v>
      </c>
      <c r="G382">
        <v>2</v>
      </c>
      <c r="H382">
        <v>3143</v>
      </c>
      <c r="I382">
        <f t="shared" si="25"/>
        <v>279727</v>
      </c>
      <c r="J382">
        <f t="shared" si="26"/>
        <v>5461</v>
      </c>
      <c r="K382">
        <f t="shared" si="27"/>
        <v>825</v>
      </c>
      <c r="L382">
        <f t="shared" si="28"/>
        <v>431419</v>
      </c>
      <c r="M382">
        <f t="shared" si="29"/>
        <v>65175</v>
      </c>
    </row>
    <row r="383" spans="1:13" x14ac:dyDescent="0.3">
      <c r="A383" t="s">
        <v>7</v>
      </c>
      <c r="B383">
        <v>36</v>
      </c>
      <c r="C383">
        <v>99</v>
      </c>
      <c r="D383">
        <v>89</v>
      </c>
      <c r="E383" s="1">
        <v>247.2222222222222</v>
      </c>
      <c r="F383">
        <v>10</v>
      </c>
      <c r="G383">
        <v>2</v>
      </c>
      <c r="H383">
        <v>3143</v>
      </c>
      <c r="I383">
        <f t="shared" si="25"/>
        <v>279727</v>
      </c>
      <c r="J383">
        <f t="shared" si="26"/>
        <v>5461</v>
      </c>
      <c r="K383">
        <f t="shared" si="27"/>
        <v>825</v>
      </c>
      <c r="L383">
        <f t="shared" si="28"/>
        <v>431419</v>
      </c>
      <c r="M383">
        <f t="shared" si="29"/>
        <v>65175</v>
      </c>
    </row>
    <row r="384" spans="1:13" x14ac:dyDescent="0.3">
      <c r="A384" t="s">
        <v>7</v>
      </c>
      <c r="B384">
        <v>55</v>
      </c>
      <c r="C384">
        <v>159</v>
      </c>
      <c r="D384">
        <v>137</v>
      </c>
      <c r="E384" s="1">
        <v>249.09090909090909</v>
      </c>
      <c r="F384">
        <v>14</v>
      </c>
      <c r="G384">
        <v>2</v>
      </c>
      <c r="H384">
        <v>1179</v>
      </c>
      <c r="I384">
        <f t="shared" si="25"/>
        <v>161523</v>
      </c>
      <c r="J384">
        <f t="shared" si="26"/>
        <v>3497</v>
      </c>
      <c r="K384">
        <f t="shared" si="27"/>
        <v>0</v>
      </c>
      <c r="L384">
        <f t="shared" si="28"/>
        <v>276263</v>
      </c>
      <c r="M384">
        <f t="shared" si="29"/>
        <v>0</v>
      </c>
    </row>
    <row r="385" spans="1:13" x14ac:dyDescent="0.3">
      <c r="A385" t="s">
        <v>7</v>
      </c>
      <c r="B385">
        <v>55</v>
      </c>
      <c r="C385">
        <v>159</v>
      </c>
      <c r="D385">
        <v>137</v>
      </c>
      <c r="E385" s="1">
        <v>249.09090909090909</v>
      </c>
      <c r="F385">
        <v>14</v>
      </c>
      <c r="G385">
        <v>2</v>
      </c>
      <c r="H385">
        <v>1179</v>
      </c>
      <c r="I385">
        <f t="shared" si="25"/>
        <v>161523</v>
      </c>
      <c r="J385">
        <f t="shared" si="26"/>
        <v>3497</v>
      </c>
      <c r="K385">
        <f t="shared" si="27"/>
        <v>0</v>
      </c>
      <c r="L385">
        <f t="shared" si="28"/>
        <v>276263</v>
      </c>
      <c r="M385">
        <f t="shared" si="29"/>
        <v>0</v>
      </c>
    </row>
    <row r="386" spans="1:13" x14ac:dyDescent="0.3">
      <c r="A386" t="s">
        <v>8</v>
      </c>
      <c r="B386">
        <v>20</v>
      </c>
      <c r="C386">
        <v>60</v>
      </c>
      <c r="D386">
        <v>50</v>
      </c>
      <c r="E386" s="1">
        <v>250</v>
      </c>
      <c r="F386">
        <v>17</v>
      </c>
      <c r="G386">
        <v>2</v>
      </c>
      <c r="H386">
        <v>9453</v>
      </c>
      <c r="I386">
        <f t="shared" si="25"/>
        <v>472650</v>
      </c>
      <c r="J386">
        <f t="shared" si="26"/>
        <v>11771</v>
      </c>
      <c r="K386">
        <f t="shared" si="27"/>
        <v>7135</v>
      </c>
      <c r="L386">
        <f t="shared" si="28"/>
        <v>929909</v>
      </c>
      <c r="M386">
        <f t="shared" si="29"/>
        <v>563665</v>
      </c>
    </row>
    <row r="387" spans="1:13" x14ac:dyDescent="0.3">
      <c r="A387" t="s">
        <v>10</v>
      </c>
      <c r="B387">
        <v>134</v>
      </c>
      <c r="C387">
        <v>360</v>
      </c>
      <c r="D387">
        <v>336</v>
      </c>
      <c r="E387" s="1">
        <v>250.74626865671641</v>
      </c>
      <c r="F387">
        <v>7</v>
      </c>
      <c r="G387">
        <v>2</v>
      </c>
      <c r="H387">
        <v>1036</v>
      </c>
      <c r="I387">
        <f t="shared" ref="I387:I449" si="30">D387*H387</f>
        <v>348096</v>
      </c>
      <c r="J387">
        <f t="shared" ref="J387:J449" si="31">H387+2318</f>
        <v>3354</v>
      </c>
      <c r="K387">
        <f t="shared" ref="K387:K449" si="32">IF(H387-2318&lt;=0,0,H387-2318)</f>
        <v>0</v>
      </c>
      <c r="L387">
        <f t="shared" ref="L387:L449" si="33">J387*$D$2</f>
        <v>264966</v>
      </c>
      <c r="M387">
        <f t="shared" ref="M387:M449" si="34">K387*$D$2</f>
        <v>0</v>
      </c>
    </row>
    <row r="388" spans="1:13" x14ac:dyDescent="0.3">
      <c r="A388" t="s">
        <v>7</v>
      </c>
      <c r="B388">
        <v>154</v>
      </c>
      <c r="C388">
        <v>478</v>
      </c>
      <c r="D388">
        <v>391</v>
      </c>
      <c r="E388" s="1">
        <v>253.89610389610391</v>
      </c>
      <c r="F388">
        <v>18</v>
      </c>
      <c r="G388">
        <v>2</v>
      </c>
      <c r="H388">
        <v>2837</v>
      </c>
      <c r="I388">
        <f t="shared" si="30"/>
        <v>1109267</v>
      </c>
      <c r="J388">
        <f t="shared" si="31"/>
        <v>5155</v>
      </c>
      <c r="K388">
        <f t="shared" si="32"/>
        <v>519</v>
      </c>
      <c r="L388">
        <f t="shared" si="33"/>
        <v>407245</v>
      </c>
      <c r="M388">
        <f t="shared" si="34"/>
        <v>41001</v>
      </c>
    </row>
    <row r="389" spans="1:13" x14ac:dyDescent="0.3">
      <c r="A389" t="s">
        <v>7</v>
      </c>
      <c r="B389">
        <v>154</v>
      </c>
      <c r="C389">
        <v>478</v>
      </c>
      <c r="D389">
        <v>391</v>
      </c>
      <c r="E389" s="1">
        <v>253.89610389610391</v>
      </c>
      <c r="F389">
        <v>18</v>
      </c>
      <c r="G389">
        <v>2</v>
      </c>
      <c r="H389">
        <v>2837</v>
      </c>
      <c r="I389">
        <f t="shared" si="30"/>
        <v>1109267</v>
      </c>
      <c r="J389">
        <f t="shared" si="31"/>
        <v>5155</v>
      </c>
      <c r="K389">
        <f t="shared" si="32"/>
        <v>519</v>
      </c>
      <c r="L389">
        <f t="shared" si="33"/>
        <v>407245</v>
      </c>
      <c r="M389">
        <f t="shared" si="34"/>
        <v>41001</v>
      </c>
    </row>
    <row r="390" spans="1:13" x14ac:dyDescent="0.3">
      <c r="A390" t="s">
        <v>7</v>
      </c>
      <c r="B390">
        <v>154</v>
      </c>
      <c r="C390">
        <v>478</v>
      </c>
      <c r="D390">
        <v>393</v>
      </c>
      <c r="E390" s="1">
        <v>255.19480519480521</v>
      </c>
      <c r="F390">
        <v>18</v>
      </c>
      <c r="G390">
        <v>2</v>
      </c>
      <c r="H390">
        <v>2837</v>
      </c>
      <c r="I390">
        <f t="shared" si="30"/>
        <v>1114941</v>
      </c>
      <c r="J390">
        <f t="shared" si="31"/>
        <v>5155</v>
      </c>
      <c r="K390">
        <f t="shared" si="32"/>
        <v>519</v>
      </c>
      <c r="L390">
        <f t="shared" si="33"/>
        <v>407245</v>
      </c>
      <c r="M390">
        <f t="shared" si="34"/>
        <v>41001</v>
      </c>
    </row>
    <row r="391" spans="1:13" x14ac:dyDescent="0.3">
      <c r="A391" t="s">
        <v>7</v>
      </c>
      <c r="B391">
        <v>154</v>
      </c>
      <c r="C391">
        <v>478</v>
      </c>
      <c r="D391">
        <v>393</v>
      </c>
      <c r="E391" s="1">
        <v>255.19480519480521</v>
      </c>
      <c r="F391">
        <v>18</v>
      </c>
      <c r="G391">
        <v>2</v>
      </c>
      <c r="H391">
        <v>2837</v>
      </c>
      <c r="I391">
        <f t="shared" si="30"/>
        <v>1114941</v>
      </c>
      <c r="J391">
        <f t="shared" si="31"/>
        <v>5155</v>
      </c>
      <c r="K391">
        <f t="shared" si="32"/>
        <v>519</v>
      </c>
      <c r="L391">
        <f t="shared" si="33"/>
        <v>407245</v>
      </c>
      <c r="M391">
        <f t="shared" si="34"/>
        <v>41001</v>
      </c>
    </row>
    <row r="392" spans="1:13" x14ac:dyDescent="0.3">
      <c r="A392" t="s">
        <v>10</v>
      </c>
      <c r="B392">
        <v>201</v>
      </c>
      <c r="C392">
        <v>570</v>
      </c>
      <c r="D392">
        <v>515</v>
      </c>
      <c r="E392" s="1">
        <v>256.21890547263678</v>
      </c>
      <c r="F392">
        <v>10</v>
      </c>
      <c r="G392">
        <v>2</v>
      </c>
      <c r="H392">
        <v>1910</v>
      </c>
      <c r="I392">
        <f t="shared" si="30"/>
        <v>983650</v>
      </c>
      <c r="J392">
        <f t="shared" si="31"/>
        <v>4228</v>
      </c>
      <c r="K392">
        <f t="shared" si="32"/>
        <v>0</v>
      </c>
      <c r="L392">
        <f t="shared" si="33"/>
        <v>334012</v>
      </c>
      <c r="M392">
        <f t="shared" si="34"/>
        <v>0</v>
      </c>
    </row>
    <row r="393" spans="1:13" x14ac:dyDescent="0.3">
      <c r="A393" t="s">
        <v>10</v>
      </c>
      <c r="B393">
        <v>67</v>
      </c>
      <c r="C393">
        <v>180</v>
      </c>
      <c r="D393">
        <v>172</v>
      </c>
      <c r="E393" s="1">
        <v>256.71641791044777</v>
      </c>
      <c r="F393">
        <v>4</v>
      </c>
      <c r="G393">
        <v>2</v>
      </c>
      <c r="H393">
        <v>3035</v>
      </c>
      <c r="I393">
        <f t="shared" si="30"/>
        <v>522020</v>
      </c>
      <c r="J393">
        <f t="shared" si="31"/>
        <v>5353</v>
      </c>
      <c r="K393">
        <f t="shared" si="32"/>
        <v>717</v>
      </c>
      <c r="L393">
        <f t="shared" si="33"/>
        <v>422887</v>
      </c>
      <c r="M393">
        <f t="shared" si="34"/>
        <v>56643</v>
      </c>
    </row>
    <row r="394" spans="1:13" x14ac:dyDescent="0.3">
      <c r="A394" t="s">
        <v>7</v>
      </c>
      <c r="B394">
        <v>77</v>
      </c>
      <c r="C394">
        <v>239</v>
      </c>
      <c r="D394">
        <v>199</v>
      </c>
      <c r="E394" s="1">
        <v>258.44155844155841</v>
      </c>
      <c r="F394">
        <v>17</v>
      </c>
      <c r="G394">
        <v>2</v>
      </c>
      <c r="H394">
        <v>740</v>
      </c>
      <c r="I394">
        <f t="shared" si="30"/>
        <v>147260</v>
      </c>
      <c r="J394">
        <f t="shared" si="31"/>
        <v>3058</v>
      </c>
      <c r="K394">
        <f t="shared" si="32"/>
        <v>0</v>
      </c>
      <c r="L394">
        <f t="shared" si="33"/>
        <v>241582</v>
      </c>
      <c r="M394">
        <f t="shared" si="34"/>
        <v>0</v>
      </c>
    </row>
    <row r="395" spans="1:13" x14ac:dyDescent="0.3">
      <c r="A395" t="s">
        <v>7</v>
      </c>
      <c r="B395">
        <v>77</v>
      </c>
      <c r="C395">
        <v>239</v>
      </c>
      <c r="D395">
        <v>199</v>
      </c>
      <c r="E395" s="1">
        <v>258.44155844155841</v>
      </c>
      <c r="F395">
        <v>17</v>
      </c>
      <c r="G395">
        <v>2</v>
      </c>
      <c r="H395">
        <v>740</v>
      </c>
      <c r="I395">
        <f t="shared" si="30"/>
        <v>147260</v>
      </c>
      <c r="J395">
        <f t="shared" si="31"/>
        <v>3058</v>
      </c>
      <c r="K395">
        <f t="shared" si="32"/>
        <v>0</v>
      </c>
      <c r="L395">
        <f t="shared" si="33"/>
        <v>241582</v>
      </c>
      <c r="M395">
        <f t="shared" si="34"/>
        <v>0</v>
      </c>
    </row>
    <row r="396" spans="1:13" x14ac:dyDescent="0.3">
      <c r="A396" t="s">
        <v>7</v>
      </c>
      <c r="B396">
        <v>77</v>
      </c>
      <c r="C396">
        <v>239</v>
      </c>
      <c r="D396">
        <v>199</v>
      </c>
      <c r="E396" s="1">
        <v>258.44155844155841</v>
      </c>
      <c r="F396">
        <v>17</v>
      </c>
      <c r="G396">
        <v>2</v>
      </c>
      <c r="H396">
        <v>740</v>
      </c>
      <c r="I396">
        <f t="shared" si="30"/>
        <v>147260</v>
      </c>
      <c r="J396">
        <f t="shared" si="31"/>
        <v>3058</v>
      </c>
      <c r="K396">
        <f t="shared" si="32"/>
        <v>0</v>
      </c>
      <c r="L396">
        <f t="shared" si="33"/>
        <v>241582</v>
      </c>
      <c r="M396">
        <f t="shared" si="34"/>
        <v>0</v>
      </c>
    </row>
    <row r="397" spans="1:13" x14ac:dyDescent="0.3">
      <c r="A397" t="s">
        <v>7</v>
      </c>
      <c r="B397">
        <v>77</v>
      </c>
      <c r="C397">
        <v>239</v>
      </c>
      <c r="D397">
        <v>199</v>
      </c>
      <c r="E397" s="1">
        <v>258.44155844155841</v>
      </c>
      <c r="F397">
        <v>17</v>
      </c>
      <c r="G397">
        <v>2</v>
      </c>
      <c r="H397">
        <v>740</v>
      </c>
      <c r="I397">
        <f t="shared" si="30"/>
        <v>147260</v>
      </c>
      <c r="J397">
        <f t="shared" si="31"/>
        <v>3058</v>
      </c>
      <c r="K397">
        <f t="shared" si="32"/>
        <v>0</v>
      </c>
      <c r="L397">
        <f t="shared" si="33"/>
        <v>241582</v>
      </c>
      <c r="M397">
        <f t="shared" si="34"/>
        <v>0</v>
      </c>
    </row>
    <row r="398" spans="1:13" x14ac:dyDescent="0.3">
      <c r="A398" t="s">
        <v>7</v>
      </c>
      <c r="B398">
        <v>110</v>
      </c>
      <c r="C398">
        <v>318</v>
      </c>
      <c r="D398">
        <v>288</v>
      </c>
      <c r="E398" s="1">
        <v>261.81818181818181</v>
      </c>
      <c r="F398">
        <v>9</v>
      </c>
      <c r="G398">
        <v>2</v>
      </c>
      <c r="H398">
        <v>415</v>
      </c>
      <c r="I398">
        <f t="shared" si="30"/>
        <v>119520</v>
      </c>
      <c r="J398">
        <f t="shared" si="31"/>
        <v>2733</v>
      </c>
      <c r="K398">
        <f t="shared" si="32"/>
        <v>0</v>
      </c>
      <c r="L398">
        <f t="shared" si="33"/>
        <v>215907</v>
      </c>
      <c r="M398">
        <f t="shared" si="34"/>
        <v>0</v>
      </c>
    </row>
    <row r="399" spans="1:13" x14ac:dyDescent="0.3">
      <c r="A399" t="s">
        <v>7</v>
      </c>
      <c r="B399">
        <v>110</v>
      </c>
      <c r="C399">
        <v>318</v>
      </c>
      <c r="D399">
        <v>288</v>
      </c>
      <c r="E399" s="1">
        <v>261.81818181818181</v>
      </c>
      <c r="F399">
        <v>9</v>
      </c>
      <c r="G399">
        <v>2</v>
      </c>
      <c r="H399">
        <v>415</v>
      </c>
      <c r="I399">
        <f t="shared" si="30"/>
        <v>119520</v>
      </c>
      <c r="J399">
        <f t="shared" si="31"/>
        <v>2733</v>
      </c>
      <c r="K399">
        <f t="shared" si="32"/>
        <v>0</v>
      </c>
      <c r="L399">
        <f t="shared" si="33"/>
        <v>215907</v>
      </c>
      <c r="M399">
        <f t="shared" si="34"/>
        <v>0</v>
      </c>
    </row>
    <row r="400" spans="1:13" x14ac:dyDescent="0.3">
      <c r="A400" t="s">
        <v>7</v>
      </c>
      <c r="B400">
        <v>110</v>
      </c>
      <c r="C400">
        <v>318</v>
      </c>
      <c r="D400">
        <v>288</v>
      </c>
      <c r="E400" s="1">
        <v>261.81818181818181</v>
      </c>
      <c r="F400">
        <v>9</v>
      </c>
      <c r="G400">
        <v>2</v>
      </c>
      <c r="H400">
        <v>415</v>
      </c>
      <c r="I400">
        <f t="shared" si="30"/>
        <v>119520</v>
      </c>
      <c r="J400">
        <f t="shared" si="31"/>
        <v>2733</v>
      </c>
      <c r="K400">
        <f t="shared" si="32"/>
        <v>0</v>
      </c>
      <c r="L400">
        <f t="shared" si="33"/>
        <v>215907</v>
      </c>
      <c r="M400">
        <f t="shared" si="34"/>
        <v>0</v>
      </c>
    </row>
    <row r="401" spans="1:13" x14ac:dyDescent="0.3">
      <c r="A401" t="s">
        <v>7</v>
      </c>
      <c r="B401">
        <v>110</v>
      </c>
      <c r="C401">
        <v>318</v>
      </c>
      <c r="D401">
        <v>288</v>
      </c>
      <c r="E401" s="1">
        <v>261.81818181818181</v>
      </c>
      <c r="F401">
        <v>9</v>
      </c>
      <c r="G401">
        <v>2</v>
      </c>
      <c r="H401">
        <v>415</v>
      </c>
      <c r="I401">
        <f t="shared" si="30"/>
        <v>119520</v>
      </c>
      <c r="J401">
        <f t="shared" si="31"/>
        <v>2733</v>
      </c>
      <c r="K401">
        <f t="shared" si="32"/>
        <v>0</v>
      </c>
      <c r="L401">
        <f t="shared" si="33"/>
        <v>215907</v>
      </c>
      <c r="M401">
        <f t="shared" si="34"/>
        <v>0</v>
      </c>
    </row>
    <row r="402" spans="1:13" x14ac:dyDescent="0.3">
      <c r="A402" t="s">
        <v>10</v>
      </c>
      <c r="B402">
        <v>134</v>
      </c>
      <c r="C402">
        <v>380</v>
      </c>
      <c r="D402">
        <v>355</v>
      </c>
      <c r="E402" s="1">
        <v>264.92537313432842</v>
      </c>
      <c r="F402">
        <v>7</v>
      </c>
      <c r="G402">
        <v>2</v>
      </c>
      <c r="H402">
        <v>1048</v>
      </c>
      <c r="I402">
        <f t="shared" si="30"/>
        <v>372040</v>
      </c>
      <c r="J402">
        <f t="shared" si="31"/>
        <v>3366</v>
      </c>
      <c r="K402">
        <f t="shared" si="32"/>
        <v>0</v>
      </c>
      <c r="L402">
        <f t="shared" si="33"/>
        <v>265914</v>
      </c>
      <c r="M402">
        <f t="shared" si="34"/>
        <v>0</v>
      </c>
    </row>
    <row r="403" spans="1:13" x14ac:dyDescent="0.3">
      <c r="A403" t="s">
        <v>10</v>
      </c>
      <c r="B403">
        <v>1000</v>
      </c>
      <c r="C403">
        <v>2675</v>
      </c>
      <c r="D403">
        <v>2665</v>
      </c>
      <c r="E403" s="1">
        <v>266.5</v>
      </c>
      <c r="F403">
        <v>1</v>
      </c>
      <c r="G403">
        <v>1</v>
      </c>
      <c r="H403">
        <v>543</v>
      </c>
      <c r="I403">
        <f t="shared" si="30"/>
        <v>1447095</v>
      </c>
      <c r="J403">
        <f t="shared" si="31"/>
        <v>2861</v>
      </c>
      <c r="K403">
        <f t="shared" si="32"/>
        <v>0</v>
      </c>
      <c r="L403">
        <f t="shared" si="33"/>
        <v>226019</v>
      </c>
      <c r="M403">
        <f t="shared" si="34"/>
        <v>0</v>
      </c>
    </row>
    <row r="404" spans="1:13" x14ac:dyDescent="0.3">
      <c r="A404" t="s">
        <v>10</v>
      </c>
      <c r="B404">
        <v>1000</v>
      </c>
      <c r="C404">
        <v>2675</v>
      </c>
      <c r="D404">
        <v>2665</v>
      </c>
      <c r="E404" s="1">
        <v>266.5</v>
      </c>
      <c r="F404">
        <v>1</v>
      </c>
      <c r="G404">
        <v>1</v>
      </c>
      <c r="H404">
        <v>543</v>
      </c>
      <c r="I404">
        <f t="shared" si="30"/>
        <v>1447095</v>
      </c>
      <c r="J404">
        <f t="shared" si="31"/>
        <v>2861</v>
      </c>
      <c r="K404">
        <f t="shared" si="32"/>
        <v>0</v>
      </c>
      <c r="L404">
        <f t="shared" si="33"/>
        <v>226019</v>
      </c>
      <c r="M404">
        <f t="shared" si="34"/>
        <v>0</v>
      </c>
    </row>
    <row r="405" spans="1:13" x14ac:dyDescent="0.3">
      <c r="A405" t="s">
        <v>10</v>
      </c>
      <c r="B405">
        <v>1000</v>
      </c>
      <c r="C405">
        <v>2675</v>
      </c>
      <c r="D405">
        <v>2675</v>
      </c>
      <c r="E405" s="1">
        <v>267.5</v>
      </c>
      <c r="F405">
        <v>0</v>
      </c>
      <c r="G405">
        <v>1</v>
      </c>
      <c r="H405">
        <v>543</v>
      </c>
      <c r="I405">
        <f t="shared" si="30"/>
        <v>1452525</v>
      </c>
      <c r="J405">
        <f t="shared" si="31"/>
        <v>2861</v>
      </c>
      <c r="K405">
        <f t="shared" si="32"/>
        <v>0</v>
      </c>
      <c r="L405">
        <f t="shared" si="33"/>
        <v>226019</v>
      </c>
      <c r="M405">
        <f t="shared" si="34"/>
        <v>0</v>
      </c>
    </row>
    <row r="406" spans="1:13" x14ac:dyDescent="0.3">
      <c r="A406" t="s">
        <v>7</v>
      </c>
      <c r="B406">
        <v>51</v>
      </c>
      <c r="C406">
        <v>159</v>
      </c>
      <c r="D406">
        <v>137</v>
      </c>
      <c r="E406" s="1">
        <v>268.62745098039221</v>
      </c>
      <c r="F406">
        <v>14</v>
      </c>
      <c r="G406">
        <v>2</v>
      </c>
      <c r="H406">
        <v>401</v>
      </c>
      <c r="I406">
        <f t="shared" si="30"/>
        <v>54937</v>
      </c>
      <c r="J406">
        <f t="shared" si="31"/>
        <v>2719</v>
      </c>
      <c r="K406">
        <f t="shared" si="32"/>
        <v>0</v>
      </c>
      <c r="L406">
        <f t="shared" si="33"/>
        <v>214801</v>
      </c>
      <c r="M406">
        <f t="shared" si="34"/>
        <v>0</v>
      </c>
    </row>
    <row r="407" spans="1:13" x14ac:dyDescent="0.3">
      <c r="A407" t="s">
        <v>7</v>
      </c>
      <c r="B407">
        <v>51</v>
      </c>
      <c r="C407">
        <v>159</v>
      </c>
      <c r="D407">
        <v>137</v>
      </c>
      <c r="E407" s="1">
        <v>268.62745098039221</v>
      </c>
      <c r="F407">
        <v>14</v>
      </c>
      <c r="G407">
        <v>2</v>
      </c>
      <c r="H407">
        <v>401</v>
      </c>
      <c r="I407">
        <f t="shared" si="30"/>
        <v>54937</v>
      </c>
      <c r="J407">
        <f t="shared" si="31"/>
        <v>2719</v>
      </c>
      <c r="K407">
        <f t="shared" si="32"/>
        <v>0</v>
      </c>
      <c r="L407">
        <f t="shared" si="33"/>
        <v>214801</v>
      </c>
      <c r="M407">
        <f t="shared" si="34"/>
        <v>0</v>
      </c>
    </row>
    <row r="408" spans="1:13" x14ac:dyDescent="0.3">
      <c r="A408" t="s">
        <v>10</v>
      </c>
      <c r="B408">
        <v>67</v>
      </c>
      <c r="C408">
        <v>190</v>
      </c>
      <c r="D408">
        <v>181</v>
      </c>
      <c r="E408" s="1">
        <v>270.14925373134332</v>
      </c>
      <c r="F408">
        <v>5</v>
      </c>
      <c r="G408">
        <v>2</v>
      </c>
      <c r="H408">
        <v>3037</v>
      </c>
      <c r="I408">
        <f t="shared" si="30"/>
        <v>549697</v>
      </c>
      <c r="J408">
        <f t="shared" si="31"/>
        <v>5355</v>
      </c>
      <c r="K408">
        <f t="shared" si="32"/>
        <v>719</v>
      </c>
      <c r="L408">
        <f t="shared" si="33"/>
        <v>423045</v>
      </c>
      <c r="M408">
        <f t="shared" si="34"/>
        <v>56801</v>
      </c>
    </row>
    <row r="409" spans="1:13" x14ac:dyDescent="0.3">
      <c r="A409" t="s">
        <v>7</v>
      </c>
      <c r="B409">
        <v>55</v>
      </c>
      <c r="C409">
        <v>159</v>
      </c>
      <c r="D409">
        <v>149</v>
      </c>
      <c r="E409" s="1">
        <v>270.90909090909088</v>
      </c>
      <c r="F409">
        <v>6</v>
      </c>
      <c r="G409">
        <v>2</v>
      </c>
      <c r="H409">
        <v>2644</v>
      </c>
      <c r="I409">
        <f t="shared" si="30"/>
        <v>393956</v>
      </c>
      <c r="J409">
        <f t="shared" si="31"/>
        <v>4962</v>
      </c>
      <c r="K409">
        <f t="shared" si="32"/>
        <v>326</v>
      </c>
      <c r="L409">
        <f t="shared" si="33"/>
        <v>391998</v>
      </c>
      <c r="M409">
        <f t="shared" si="34"/>
        <v>25754</v>
      </c>
    </row>
    <row r="410" spans="1:13" x14ac:dyDescent="0.3">
      <c r="A410" t="s">
        <v>7</v>
      </c>
      <c r="B410">
        <v>55</v>
      </c>
      <c r="C410">
        <v>159</v>
      </c>
      <c r="D410">
        <v>149</v>
      </c>
      <c r="E410" s="1">
        <v>270.90909090909088</v>
      </c>
      <c r="F410">
        <v>6</v>
      </c>
      <c r="G410">
        <v>2</v>
      </c>
      <c r="H410">
        <v>2644</v>
      </c>
      <c r="I410">
        <f t="shared" si="30"/>
        <v>393956</v>
      </c>
      <c r="J410">
        <f t="shared" si="31"/>
        <v>4962</v>
      </c>
      <c r="K410">
        <f t="shared" si="32"/>
        <v>326</v>
      </c>
      <c r="L410">
        <f t="shared" si="33"/>
        <v>391998</v>
      </c>
      <c r="M410">
        <f t="shared" si="34"/>
        <v>25754</v>
      </c>
    </row>
    <row r="411" spans="1:13" x14ac:dyDescent="0.3">
      <c r="A411" t="s">
        <v>7</v>
      </c>
      <c r="B411">
        <v>55</v>
      </c>
      <c r="C411">
        <v>159</v>
      </c>
      <c r="D411">
        <v>149</v>
      </c>
      <c r="E411" s="1">
        <v>270.90909090909088</v>
      </c>
      <c r="F411">
        <v>6</v>
      </c>
      <c r="G411">
        <v>2</v>
      </c>
      <c r="H411">
        <v>2644</v>
      </c>
      <c r="I411">
        <f t="shared" si="30"/>
        <v>393956</v>
      </c>
      <c r="J411">
        <f t="shared" si="31"/>
        <v>4962</v>
      </c>
      <c r="K411">
        <f t="shared" si="32"/>
        <v>326</v>
      </c>
      <c r="L411">
        <f t="shared" si="33"/>
        <v>391998</v>
      </c>
      <c r="M411">
        <f t="shared" si="34"/>
        <v>25754</v>
      </c>
    </row>
    <row r="412" spans="1:13" x14ac:dyDescent="0.3">
      <c r="A412" t="s">
        <v>7</v>
      </c>
      <c r="B412">
        <v>55</v>
      </c>
      <c r="C412">
        <v>159</v>
      </c>
      <c r="D412">
        <v>149</v>
      </c>
      <c r="E412" s="1">
        <v>270.90909090909088</v>
      </c>
      <c r="F412">
        <v>6</v>
      </c>
      <c r="G412">
        <v>2</v>
      </c>
      <c r="H412">
        <v>2644</v>
      </c>
      <c r="I412">
        <f t="shared" si="30"/>
        <v>393956</v>
      </c>
      <c r="J412">
        <f t="shared" si="31"/>
        <v>4962</v>
      </c>
      <c r="K412">
        <f t="shared" si="32"/>
        <v>326</v>
      </c>
      <c r="L412">
        <f t="shared" si="33"/>
        <v>391998</v>
      </c>
      <c r="M412">
        <f t="shared" si="34"/>
        <v>25754</v>
      </c>
    </row>
    <row r="413" spans="1:13" x14ac:dyDescent="0.3">
      <c r="A413" t="s">
        <v>7</v>
      </c>
      <c r="B413">
        <v>55</v>
      </c>
      <c r="C413">
        <v>159</v>
      </c>
      <c r="D413">
        <v>149</v>
      </c>
      <c r="E413" s="1">
        <v>270.90909090909088</v>
      </c>
      <c r="F413">
        <v>6</v>
      </c>
      <c r="G413">
        <v>2</v>
      </c>
      <c r="H413">
        <v>2644</v>
      </c>
      <c r="I413">
        <f t="shared" si="30"/>
        <v>393956</v>
      </c>
      <c r="J413">
        <f t="shared" si="31"/>
        <v>4962</v>
      </c>
      <c r="K413">
        <f t="shared" si="32"/>
        <v>326</v>
      </c>
      <c r="L413">
        <f t="shared" si="33"/>
        <v>391998</v>
      </c>
      <c r="M413">
        <f t="shared" si="34"/>
        <v>25754</v>
      </c>
    </row>
    <row r="414" spans="1:13" x14ac:dyDescent="0.3">
      <c r="A414" t="s">
        <v>7</v>
      </c>
      <c r="B414">
        <v>55</v>
      </c>
      <c r="C414">
        <v>159</v>
      </c>
      <c r="D414">
        <v>149</v>
      </c>
      <c r="E414" s="1">
        <v>270.90909090909088</v>
      </c>
      <c r="F414">
        <v>6</v>
      </c>
      <c r="G414">
        <v>2</v>
      </c>
      <c r="H414">
        <v>2644</v>
      </c>
      <c r="I414">
        <f t="shared" si="30"/>
        <v>393956</v>
      </c>
      <c r="J414">
        <f t="shared" si="31"/>
        <v>4962</v>
      </c>
      <c r="K414">
        <f t="shared" si="32"/>
        <v>326</v>
      </c>
      <c r="L414">
        <f t="shared" si="33"/>
        <v>391998</v>
      </c>
      <c r="M414">
        <f t="shared" si="34"/>
        <v>25754</v>
      </c>
    </row>
    <row r="415" spans="1:13" x14ac:dyDescent="0.3">
      <c r="A415" t="s">
        <v>7</v>
      </c>
      <c r="B415">
        <v>18</v>
      </c>
      <c r="C415">
        <v>50</v>
      </c>
      <c r="D415">
        <v>50</v>
      </c>
      <c r="E415" s="1">
        <v>277.77777777777783</v>
      </c>
      <c r="F415">
        <v>0</v>
      </c>
      <c r="G415">
        <v>2</v>
      </c>
      <c r="H415">
        <v>2318</v>
      </c>
      <c r="I415">
        <f t="shared" si="30"/>
        <v>115900</v>
      </c>
      <c r="J415">
        <f t="shared" si="31"/>
        <v>4636</v>
      </c>
      <c r="K415">
        <f t="shared" si="32"/>
        <v>0</v>
      </c>
      <c r="L415">
        <f t="shared" si="33"/>
        <v>366244</v>
      </c>
      <c r="M415">
        <f t="shared" si="34"/>
        <v>0</v>
      </c>
    </row>
    <row r="416" spans="1:13" x14ac:dyDescent="0.3">
      <c r="A416" t="s">
        <v>7</v>
      </c>
      <c r="B416">
        <v>18</v>
      </c>
      <c r="C416">
        <v>50</v>
      </c>
      <c r="D416">
        <v>50</v>
      </c>
      <c r="E416" s="1">
        <v>277.77777777777783</v>
      </c>
      <c r="F416">
        <v>0</v>
      </c>
      <c r="G416">
        <v>2</v>
      </c>
      <c r="H416">
        <v>2318</v>
      </c>
      <c r="I416">
        <f t="shared" si="30"/>
        <v>115900</v>
      </c>
      <c r="J416">
        <f t="shared" si="31"/>
        <v>4636</v>
      </c>
      <c r="K416">
        <f t="shared" si="32"/>
        <v>0</v>
      </c>
      <c r="L416">
        <f t="shared" si="33"/>
        <v>366244</v>
      </c>
      <c r="M416">
        <f t="shared" si="34"/>
        <v>0</v>
      </c>
    </row>
    <row r="417" spans="1:13" x14ac:dyDescent="0.3">
      <c r="A417" t="s">
        <v>7</v>
      </c>
      <c r="B417">
        <v>200</v>
      </c>
      <c r="C417">
        <v>800</v>
      </c>
      <c r="D417">
        <v>576</v>
      </c>
      <c r="E417" s="1">
        <v>288</v>
      </c>
      <c r="F417">
        <v>28</v>
      </c>
      <c r="G417">
        <v>2</v>
      </c>
      <c r="H417">
        <v>3226</v>
      </c>
      <c r="I417">
        <f t="shared" si="30"/>
        <v>1858176</v>
      </c>
      <c r="J417">
        <f t="shared" si="31"/>
        <v>5544</v>
      </c>
      <c r="K417">
        <f t="shared" si="32"/>
        <v>908</v>
      </c>
      <c r="L417">
        <f t="shared" si="33"/>
        <v>437976</v>
      </c>
      <c r="M417">
        <f t="shared" si="34"/>
        <v>71732</v>
      </c>
    </row>
    <row r="418" spans="1:13" x14ac:dyDescent="0.3">
      <c r="A418" t="s">
        <v>10</v>
      </c>
      <c r="B418">
        <v>28</v>
      </c>
      <c r="C418">
        <v>90</v>
      </c>
      <c r="D418">
        <v>84</v>
      </c>
      <c r="E418" s="1">
        <v>300</v>
      </c>
      <c r="F418">
        <v>7</v>
      </c>
      <c r="G418">
        <v>2</v>
      </c>
      <c r="H418">
        <v>2255</v>
      </c>
      <c r="I418">
        <f t="shared" si="30"/>
        <v>189420</v>
      </c>
      <c r="J418">
        <f t="shared" si="31"/>
        <v>4573</v>
      </c>
      <c r="K418">
        <f t="shared" si="32"/>
        <v>0</v>
      </c>
      <c r="L418">
        <f t="shared" si="33"/>
        <v>361267</v>
      </c>
      <c r="M418">
        <f t="shared" si="34"/>
        <v>0</v>
      </c>
    </row>
    <row r="419" spans="1:13" x14ac:dyDescent="0.3">
      <c r="A419" t="s">
        <v>10</v>
      </c>
      <c r="B419">
        <v>2000</v>
      </c>
      <c r="C419">
        <v>6650</v>
      </c>
      <c r="D419">
        <v>6650</v>
      </c>
      <c r="E419" s="1">
        <v>332.5</v>
      </c>
      <c r="F419">
        <v>0</v>
      </c>
      <c r="G419">
        <v>3</v>
      </c>
      <c r="H419">
        <v>543</v>
      </c>
      <c r="I419">
        <f t="shared" si="30"/>
        <v>3610950</v>
      </c>
      <c r="J419">
        <f t="shared" si="31"/>
        <v>2861</v>
      </c>
      <c r="K419">
        <f t="shared" si="32"/>
        <v>0</v>
      </c>
      <c r="L419">
        <f t="shared" si="33"/>
        <v>226019</v>
      </c>
      <c r="M419">
        <f t="shared" si="34"/>
        <v>0</v>
      </c>
    </row>
    <row r="420" spans="1:13" x14ac:dyDescent="0.3">
      <c r="A420" t="s">
        <v>10</v>
      </c>
      <c r="B420">
        <v>210</v>
      </c>
      <c r="C420">
        <v>699</v>
      </c>
      <c r="D420">
        <v>699</v>
      </c>
      <c r="E420" s="1">
        <v>332.85714285714289</v>
      </c>
      <c r="F420">
        <v>0</v>
      </c>
      <c r="G420">
        <v>0</v>
      </c>
      <c r="H420">
        <v>1207</v>
      </c>
      <c r="I420">
        <f t="shared" si="30"/>
        <v>843693</v>
      </c>
      <c r="J420">
        <f t="shared" si="31"/>
        <v>3525</v>
      </c>
      <c r="K420">
        <f t="shared" si="32"/>
        <v>0</v>
      </c>
      <c r="L420">
        <f t="shared" si="33"/>
        <v>278475</v>
      </c>
      <c r="M420">
        <f t="shared" si="34"/>
        <v>0</v>
      </c>
    </row>
    <row r="421" spans="1:13" x14ac:dyDescent="0.3">
      <c r="A421" t="s">
        <v>10</v>
      </c>
      <c r="B421">
        <v>210</v>
      </c>
      <c r="C421">
        <v>699</v>
      </c>
      <c r="D421">
        <v>699</v>
      </c>
      <c r="E421" s="1">
        <v>332.85714285714289</v>
      </c>
      <c r="F421">
        <v>0</v>
      </c>
      <c r="G421">
        <v>0</v>
      </c>
      <c r="H421">
        <v>1207</v>
      </c>
      <c r="I421">
        <f t="shared" si="30"/>
        <v>843693</v>
      </c>
      <c r="J421">
        <f t="shared" si="31"/>
        <v>3525</v>
      </c>
      <c r="K421">
        <f t="shared" si="32"/>
        <v>0</v>
      </c>
      <c r="L421">
        <f t="shared" si="33"/>
        <v>278475</v>
      </c>
      <c r="M421">
        <f t="shared" si="34"/>
        <v>0</v>
      </c>
    </row>
    <row r="422" spans="1:13" x14ac:dyDescent="0.3">
      <c r="A422" t="s">
        <v>10</v>
      </c>
      <c r="B422">
        <v>80</v>
      </c>
      <c r="C422">
        <v>310</v>
      </c>
      <c r="D422">
        <v>267</v>
      </c>
      <c r="E422" s="1">
        <v>333.75</v>
      </c>
      <c r="F422">
        <v>14</v>
      </c>
      <c r="G422">
        <v>2</v>
      </c>
      <c r="H422">
        <v>0</v>
      </c>
      <c r="I422">
        <f t="shared" si="30"/>
        <v>0</v>
      </c>
      <c r="J422">
        <f t="shared" si="31"/>
        <v>2318</v>
      </c>
      <c r="K422">
        <f t="shared" si="32"/>
        <v>0</v>
      </c>
      <c r="L422">
        <f t="shared" si="33"/>
        <v>183122</v>
      </c>
      <c r="M422">
        <f t="shared" si="34"/>
        <v>0</v>
      </c>
    </row>
    <row r="423" spans="1:13" x14ac:dyDescent="0.3">
      <c r="A423" t="s">
        <v>10</v>
      </c>
      <c r="B423">
        <v>80</v>
      </c>
      <c r="C423">
        <v>310</v>
      </c>
      <c r="D423">
        <v>267</v>
      </c>
      <c r="E423" s="1">
        <v>333.75</v>
      </c>
      <c r="F423">
        <v>13</v>
      </c>
      <c r="G423">
        <v>2</v>
      </c>
      <c r="H423">
        <v>485</v>
      </c>
      <c r="I423">
        <f t="shared" si="30"/>
        <v>129495</v>
      </c>
      <c r="J423">
        <f t="shared" si="31"/>
        <v>2803</v>
      </c>
      <c r="K423">
        <f t="shared" si="32"/>
        <v>0</v>
      </c>
      <c r="L423">
        <f t="shared" si="33"/>
        <v>221437</v>
      </c>
      <c r="M423">
        <f t="shared" si="34"/>
        <v>0</v>
      </c>
    </row>
    <row r="424" spans="1:13" x14ac:dyDescent="0.3">
      <c r="A424" t="s">
        <v>10</v>
      </c>
      <c r="B424">
        <v>80</v>
      </c>
      <c r="C424">
        <v>310</v>
      </c>
      <c r="D424">
        <v>267</v>
      </c>
      <c r="E424" s="1">
        <v>333.75</v>
      </c>
      <c r="F424">
        <v>13</v>
      </c>
      <c r="G424">
        <v>2</v>
      </c>
      <c r="H424">
        <v>485</v>
      </c>
      <c r="I424">
        <f t="shared" si="30"/>
        <v>129495</v>
      </c>
      <c r="J424">
        <f t="shared" si="31"/>
        <v>2803</v>
      </c>
      <c r="K424">
        <f t="shared" si="32"/>
        <v>0</v>
      </c>
      <c r="L424">
        <f t="shared" si="33"/>
        <v>221437</v>
      </c>
      <c r="M424">
        <f t="shared" si="34"/>
        <v>0</v>
      </c>
    </row>
    <row r="425" spans="1:13" x14ac:dyDescent="0.3">
      <c r="A425" t="s">
        <v>10</v>
      </c>
      <c r="B425">
        <v>80</v>
      </c>
      <c r="C425">
        <v>310</v>
      </c>
      <c r="D425">
        <v>273</v>
      </c>
      <c r="E425" s="1">
        <v>341.25</v>
      </c>
      <c r="F425">
        <v>12</v>
      </c>
      <c r="G425">
        <v>2</v>
      </c>
      <c r="H425">
        <v>485</v>
      </c>
      <c r="I425">
        <f t="shared" si="30"/>
        <v>132405</v>
      </c>
      <c r="J425">
        <f t="shared" si="31"/>
        <v>2803</v>
      </c>
      <c r="K425">
        <f t="shared" si="32"/>
        <v>0</v>
      </c>
      <c r="L425">
        <f t="shared" si="33"/>
        <v>221437</v>
      </c>
      <c r="M425">
        <f t="shared" si="34"/>
        <v>0</v>
      </c>
    </row>
    <row r="426" spans="1:13" x14ac:dyDescent="0.3">
      <c r="A426" t="s">
        <v>10</v>
      </c>
      <c r="B426">
        <v>80</v>
      </c>
      <c r="C426">
        <v>310</v>
      </c>
      <c r="D426">
        <v>273</v>
      </c>
      <c r="E426" s="1">
        <v>341.25</v>
      </c>
      <c r="F426">
        <v>12</v>
      </c>
      <c r="G426">
        <v>2</v>
      </c>
      <c r="H426">
        <v>485</v>
      </c>
      <c r="I426">
        <f t="shared" si="30"/>
        <v>132405</v>
      </c>
      <c r="J426">
        <f t="shared" si="31"/>
        <v>2803</v>
      </c>
      <c r="K426">
        <f t="shared" si="32"/>
        <v>0</v>
      </c>
      <c r="L426">
        <f t="shared" si="33"/>
        <v>221437</v>
      </c>
      <c r="M426">
        <f t="shared" si="34"/>
        <v>0</v>
      </c>
    </row>
    <row r="427" spans="1:13" x14ac:dyDescent="0.3">
      <c r="A427" t="s">
        <v>10</v>
      </c>
      <c r="B427">
        <v>80</v>
      </c>
      <c r="C427">
        <v>310</v>
      </c>
      <c r="D427">
        <v>273</v>
      </c>
      <c r="E427" s="1">
        <v>341.25</v>
      </c>
      <c r="F427">
        <v>12</v>
      </c>
      <c r="G427">
        <v>2</v>
      </c>
      <c r="H427">
        <v>485</v>
      </c>
      <c r="I427">
        <f t="shared" si="30"/>
        <v>132405</v>
      </c>
      <c r="J427">
        <f t="shared" si="31"/>
        <v>2803</v>
      </c>
      <c r="K427">
        <f t="shared" si="32"/>
        <v>0</v>
      </c>
      <c r="L427">
        <f t="shared" si="33"/>
        <v>221437</v>
      </c>
      <c r="M427">
        <f t="shared" si="34"/>
        <v>0</v>
      </c>
    </row>
    <row r="428" spans="1:13" x14ac:dyDescent="0.3">
      <c r="A428" t="s">
        <v>10</v>
      </c>
      <c r="B428">
        <v>80</v>
      </c>
      <c r="C428">
        <v>310</v>
      </c>
      <c r="D428">
        <v>273</v>
      </c>
      <c r="E428" s="1">
        <v>341.25</v>
      </c>
      <c r="F428">
        <v>12</v>
      </c>
      <c r="G428">
        <v>2</v>
      </c>
      <c r="H428">
        <v>485</v>
      </c>
      <c r="I428">
        <f t="shared" si="30"/>
        <v>132405</v>
      </c>
      <c r="J428">
        <f t="shared" si="31"/>
        <v>2803</v>
      </c>
      <c r="K428">
        <f t="shared" si="32"/>
        <v>0</v>
      </c>
      <c r="L428">
        <f t="shared" si="33"/>
        <v>221437</v>
      </c>
      <c r="M428">
        <f t="shared" si="34"/>
        <v>0</v>
      </c>
    </row>
    <row r="429" spans="1:13" x14ac:dyDescent="0.3">
      <c r="A429" t="s">
        <v>10</v>
      </c>
      <c r="B429">
        <v>1000</v>
      </c>
      <c r="C429">
        <v>3549</v>
      </c>
      <c r="D429">
        <v>3549</v>
      </c>
      <c r="E429" s="1">
        <v>354.9</v>
      </c>
      <c r="F429">
        <v>0</v>
      </c>
      <c r="G429">
        <v>1</v>
      </c>
      <c r="H429">
        <v>543</v>
      </c>
      <c r="I429">
        <f t="shared" si="30"/>
        <v>1927107</v>
      </c>
      <c r="J429">
        <f t="shared" si="31"/>
        <v>2861</v>
      </c>
      <c r="K429">
        <f t="shared" si="32"/>
        <v>0</v>
      </c>
      <c r="L429">
        <f t="shared" si="33"/>
        <v>226019</v>
      </c>
      <c r="M429">
        <f t="shared" si="34"/>
        <v>0</v>
      </c>
    </row>
    <row r="430" spans="1:13" x14ac:dyDescent="0.3">
      <c r="A430" t="s">
        <v>10</v>
      </c>
      <c r="B430">
        <v>1000</v>
      </c>
      <c r="C430">
        <v>3549</v>
      </c>
      <c r="D430">
        <v>3549</v>
      </c>
      <c r="E430" s="1">
        <v>354.9</v>
      </c>
      <c r="F430">
        <v>0</v>
      </c>
      <c r="G430">
        <v>1</v>
      </c>
      <c r="H430">
        <v>543</v>
      </c>
      <c r="I430">
        <f t="shared" si="30"/>
        <v>1927107</v>
      </c>
      <c r="J430">
        <f t="shared" si="31"/>
        <v>2861</v>
      </c>
      <c r="K430">
        <f t="shared" si="32"/>
        <v>0</v>
      </c>
      <c r="L430">
        <f t="shared" si="33"/>
        <v>226019</v>
      </c>
      <c r="M430">
        <f t="shared" si="34"/>
        <v>0</v>
      </c>
    </row>
    <row r="431" spans="1:13" x14ac:dyDescent="0.3">
      <c r="A431" t="s">
        <v>10</v>
      </c>
      <c r="B431">
        <v>80</v>
      </c>
      <c r="C431">
        <v>335</v>
      </c>
      <c r="D431">
        <v>289</v>
      </c>
      <c r="E431" s="1">
        <v>361.25</v>
      </c>
      <c r="F431">
        <v>14</v>
      </c>
      <c r="G431">
        <v>2</v>
      </c>
      <c r="H431">
        <v>454</v>
      </c>
      <c r="I431">
        <f t="shared" si="30"/>
        <v>131206</v>
      </c>
      <c r="J431">
        <f t="shared" si="31"/>
        <v>2772</v>
      </c>
      <c r="K431">
        <f t="shared" si="32"/>
        <v>0</v>
      </c>
      <c r="L431">
        <f t="shared" si="33"/>
        <v>218988</v>
      </c>
      <c r="M431">
        <f t="shared" si="34"/>
        <v>0</v>
      </c>
    </row>
    <row r="432" spans="1:13" x14ac:dyDescent="0.3">
      <c r="A432" t="s">
        <v>10</v>
      </c>
      <c r="B432">
        <v>2000</v>
      </c>
      <c r="C432">
        <v>8599</v>
      </c>
      <c r="D432">
        <v>7259</v>
      </c>
      <c r="E432" s="1">
        <v>362.95</v>
      </c>
      <c r="F432">
        <v>16</v>
      </c>
      <c r="G432">
        <v>3</v>
      </c>
      <c r="H432">
        <v>0</v>
      </c>
      <c r="I432">
        <f t="shared" si="30"/>
        <v>0</v>
      </c>
      <c r="J432">
        <f t="shared" si="31"/>
        <v>2318</v>
      </c>
      <c r="K432">
        <f t="shared" si="32"/>
        <v>0</v>
      </c>
      <c r="L432">
        <f t="shared" si="33"/>
        <v>183122</v>
      </c>
      <c r="M432">
        <f t="shared" si="34"/>
        <v>0</v>
      </c>
    </row>
    <row r="433" spans="1:13" x14ac:dyDescent="0.3">
      <c r="A433" t="s">
        <v>8</v>
      </c>
      <c r="B433">
        <v>150</v>
      </c>
      <c r="C433">
        <v>649</v>
      </c>
      <c r="D433">
        <v>549</v>
      </c>
      <c r="E433" s="1">
        <v>366</v>
      </c>
      <c r="F433">
        <v>15</v>
      </c>
      <c r="G433">
        <v>2</v>
      </c>
      <c r="H433">
        <v>305</v>
      </c>
      <c r="I433">
        <f t="shared" si="30"/>
        <v>167445</v>
      </c>
      <c r="J433">
        <f t="shared" si="31"/>
        <v>2623</v>
      </c>
      <c r="K433">
        <f t="shared" si="32"/>
        <v>0</v>
      </c>
      <c r="L433">
        <f t="shared" si="33"/>
        <v>207217</v>
      </c>
      <c r="M433">
        <f t="shared" si="34"/>
        <v>0</v>
      </c>
    </row>
    <row r="434" spans="1:13" x14ac:dyDescent="0.3">
      <c r="A434" t="s">
        <v>8</v>
      </c>
      <c r="B434">
        <v>150</v>
      </c>
      <c r="C434">
        <v>649</v>
      </c>
      <c r="D434">
        <v>549</v>
      </c>
      <c r="E434" s="1">
        <v>366</v>
      </c>
      <c r="F434">
        <v>15</v>
      </c>
      <c r="G434">
        <v>2</v>
      </c>
      <c r="H434">
        <v>305</v>
      </c>
      <c r="I434">
        <f t="shared" si="30"/>
        <v>167445</v>
      </c>
      <c r="J434">
        <f t="shared" si="31"/>
        <v>2623</v>
      </c>
      <c r="K434">
        <f t="shared" si="32"/>
        <v>0</v>
      </c>
      <c r="L434">
        <f t="shared" si="33"/>
        <v>207217</v>
      </c>
      <c r="M434">
        <f t="shared" si="34"/>
        <v>0</v>
      </c>
    </row>
    <row r="435" spans="1:13" x14ac:dyDescent="0.3">
      <c r="A435" t="s">
        <v>10</v>
      </c>
      <c r="B435">
        <v>1000</v>
      </c>
      <c r="C435">
        <v>4499</v>
      </c>
      <c r="D435">
        <v>3799</v>
      </c>
      <c r="E435" s="1">
        <v>379.9</v>
      </c>
      <c r="F435">
        <v>16</v>
      </c>
      <c r="G435">
        <v>1</v>
      </c>
      <c r="H435">
        <v>0</v>
      </c>
      <c r="I435">
        <f t="shared" si="30"/>
        <v>0</v>
      </c>
      <c r="J435">
        <f t="shared" si="31"/>
        <v>2318</v>
      </c>
      <c r="K435">
        <f t="shared" si="32"/>
        <v>0</v>
      </c>
      <c r="L435">
        <f t="shared" si="33"/>
        <v>183122</v>
      </c>
      <c r="M435">
        <f t="shared" si="34"/>
        <v>0</v>
      </c>
    </row>
    <row r="436" spans="1:13" x14ac:dyDescent="0.3">
      <c r="A436" t="s">
        <v>10</v>
      </c>
      <c r="B436">
        <v>1000</v>
      </c>
      <c r="C436">
        <v>4499</v>
      </c>
      <c r="D436">
        <v>3799</v>
      </c>
      <c r="E436" s="1">
        <v>379.9</v>
      </c>
      <c r="F436">
        <v>16</v>
      </c>
      <c r="G436">
        <v>1</v>
      </c>
      <c r="H436">
        <v>0</v>
      </c>
      <c r="I436">
        <f t="shared" si="30"/>
        <v>0</v>
      </c>
      <c r="J436">
        <f t="shared" si="31"/>
        <v>2318</v>
      </c>
      <c r="K436">
        <f t="shared" si="32"/>
        <v>0</v>
      </c>
      <c r="L436">
        <f t="shared" si="33"/>
        <v>183122</v>
      </c>
      <c r="M436">
        <f t="shared" si="34"/>
        <v>0</v>
      </c>
    </row>
    <row r="437" spans="1:13" x14ac:dyDescent="0.3">
      <c r="A437" t="s">
        <v>10</v>
      </c>
      <c r="B437">
        <v>80</v>
      </c>
      <c r="C437">
        <v>349</v>
      </c>
      <c r="D437">
        <v>308</v>
      </c>
      <c r="E437" s="1">
        <v>385</v>
      </c>
      <c r="F437">
        <v>12</v>
      </c>
      <c r="G437">
        <v>2</v>
      </c>
      <c r="H437">
        <v>1213</v>
      </c>
      <c r="I437">
        <f t="shared" si="30"/>
        <v>373604</v>
      </c>
      <c r="J437">
        <f t="shared" si="31"/>
        <v>3531</v>
      </c>
      <c r="K437">
        <f t="shared" si="32"/>
        <v>0</v>
      </c>
      <c r="L437">
        <f t="shared" si="33"/>
        <v>278949</v>
      </c>
      <c r="M437">
        <f t="shared" si="34"/>
        <v>0</v>
      </c>
    </row>
    <row r="438" spans="1:13" x14ac:dyDescent="0.3">
      <c r="A438" t="s">
        <v>10</v>
      </c>
      <c r="B438">
        <v>1000</v>
      </c>
      <c r="C438">
        <v>3999</v>
      </c>
      <c r="D438">
        <v>3999</v>
      </c>
      <c r="E438" s="1">
        <v>399.9</v>
      </c>
      <c r="F438">
        <v>0</v>
      </c>
      <c r="G438">
        <v>1</v>
      </c>
      <c r="H438">
        <v>543</v>
      </c>
      <c r="I438">
        <f t="shared" si="30"/>
        <v>2171457</v>
      </c>
      <c r="J438">
        <f t="shared" si="31"/>
        <v>2861</v>
      </c>
      <c r="K438">
        <f t="shared" si="32"/>
        <v>0</v>
      </c>
      <c r="L438">
        <f t="shared" si="33"/>
        <v>226019</v>
      </c>
      <c r="M438">
        <f t="shared" si="34"/>
        <v>0</v>
      </c>
    </row>
    <row r="439" spans="1:13" x14ac:dyDescent="0.3">
      <c r="A439" t="s">
        <v>10</v>
      </c>
      <c r="B439">
        <v>1000</v>
      </c>
      <c r="C439">
        <v>4999</v>
      </c>
      <c r="D439">
        <v>4219</v>
      </c>
      <c r="E439" s="1">
        <v>421.9</v>
      </c>
      <c r="F439">
        <v>16</v>
      </c>
      <c r="G439">
        <v>1</v>
      </c>
      <c r="H439">
        <v>0</v>
      </c>
      <c r="I439">
        <f t="shared" si="30"/>
        <v>0</v>
      </c>
      <c r="J439">
        <f t="shared" si="31"/>
        <v>2318</v>
      </c>
      <c r="K439">
        <f t="shared" si="32"/>
        <v>0</v>
      </c>
      <c r="L439">
        <f t="shared" si="33"/>
        <v>183122</v>
      </c>
      <c r="M439">
        <f t="shared" si="34"/>
        <v>0</v>
      </c>
    </row>
    <row r="440" spans="1:13" x14ac:dyDescent="0.3">
      <c r="A440" t="s">
        <v>10</v>
      </c>
      <c r="B440">
        <v>210</v>
      </c>
      <c r="C440">
        <v>890</v>
      </c>
      <c r="D440">
        <v>890</v>
      </c>
      <c r="E440" s="1">
        <v>423.8095238095238</v>
      </c>
      <c r="F440">
        <v>0</v>
      </c>
      <c r="G440">
        <v>0</v>
      </c>
      <c r="H440">
        <v>1207</v>
      </c>
      <c r="I440">
        <f t="shared" si="30"/>
        <v>1074230</v>
      </c>
      <c r="J440">
        <f t="shared" si="31"/>
        <v>3525</v>
      </c>
      <c r="K440">
        <f t="shared" si="32"/>
        <v>0</v>
      </c>
      <c r="L440">
        <f t="shared" si="33"/>
        <v>278475</v>
      </c>
      <c r="M440">
        <f t="shared" si="34"/>
        <v>0</v>
      </c>
    </row>
    <row r="441" spans="1:13" x14ac:dyDescent="0.3">
      <c r="A441" t="s">
        <v>10</v>
      </c>
      <c r="B441">
        <v>210</v>
      </c>
      <c r="C441">
        <v>890</v>
      </c>
      <c r="D441">
        <v>890</v>
      </c>
      <c r="E441" s="1">
        <v>423.8095238095238</v>
      </c>
      <c r="F441">
        <v>0</v>
      </c>
      <c r="G441">
        <v>0</v>
      </c>
      <c r="H441">
        <v>1207</v>
      </c>
      <c r="I441">
        <f t="shared" si="30"/>
        <v>1074230</v>
      </c>
      <c r="J441">
        <f t="shared" si="31"/>
        <v>3525</v>
      </c>
      <c r="K441">
        <f t="shared" si="32"/>
        <v>0</v>
      </c>
      <c r="L441">
        <f t="shared" si="33"/>
        <v>278475</v>
      </c>
      <c r="M441">
        <f t="shared" si="34"/>
        <v>0</v>
      </c>
    </row>
    <row r="442" spans="1:13" x14ac:dyDescent="0.3">
      <c r="A442" t="s">
        <v>10</v>
      </c>
      <c r="B442">
        <v>2000</v>
      </c>
      <c r="C442">
        <v>9299</v>
      </c>
      <c r="D442">
        <v>8819</v>
      </c>
      <c r="E442" s="1">
        <v>440.95</v>
      </c>
      <c r="F442">
        <v>5</v>
      </c>
      <c r="G442">
        <v>3</v>
      </c>
      <c r="H442">
        <v>543</v>
      </c>
      <c r="I442">
        <f t="shared" si="30"/>
        <v>4788717</v>
      </c>
      <c r="J442">
        <f t="shared" si="31"/>
        <v>2861</v>
      </c>
      <c r="K442">
        <f t="shared" si="32"/>
        <v>0</v>
      </c>
      <c r="L442">
        <f t="shared" si="33"/>
        <v>226019</v>
      </c>
      <c r="M442">
        <f t="shared" si="34"/>
        <v>0</v>
      </c>
    </row>
    <row r="443" spans="1:13" x14ac:dyDescent="0.3">
      <c r="A443" t="s">
        <v>10</v>
      </c>
      <c r="B443">
        <v>1000</v>
      </c>
      <c r="C443">
        <v>4999</v>
      </c>
      <c r="D443">
        <v>4639</v>
      </c>
      <c r="E443" s="1">
        <v>463.9</v>
      </c>
      <c r="F443">
        <v>7</v>
      </c>
      <c r="G443">
        <v>1</v>
      </c>
      <c r="H443">
        <v>543</v>
      </c>
      <c r="I443">
        <f t="shared" si="30"/>
        <v>2518977</v>
      </c>
      <c r="J443">
        <f t="shared" si="31"/>
        <v>2861</v>
      </c>
      <c r="K443">
        <f t="shared" si="32"/>
        <v>0</v>
      </c>
      <c r="L443">
        <f t="shared" si="33"/>
        <v>226019</v>
      </c>
      <c r="M443">
        <f t="shared" si="34"/>
        <v>0</v>
      </c>
    </row>
    <row r="444" spans="1:13" x14ac:dyDescent="0.3">
      <c r="A444" t="s">
        <v>10</v>
      </c>
      <c r="B444">
        <v>210</v>
      </c>
      <c r="C444">
        <v>999</v>
      </c>
      <c r="D444">
        <v>999</v>
      </c>
      <c r="E444" s="1">
        <v>475.71428571428572</v>
      </c>
      <c r="F444">
        <v>0</v>
      </c>
      <c r="G444">
        <v>0</v>
      </c>
      <c r="H444">
        <v>971</v>
      </c>
      <c r="I444">
        <f t="shared" si="30"/>
        <v>970029</v>
      </c>
      <c r="J444">
        <f t="shared" si="31"/>
        <v>3289</v>
      </c>
      <c r="K444">
        <f t="shared" si="32"/>
        <v>0</v>
      </c>
      <c r="L444">
        <f t="shared" si="33"/>
        <v>259831</v>
      </c>
      <c r="M444">
        <f t="shared" si="34"/>
        <v>0</v>
      </c>
    </row>
    <row r="445" spans="1:13" x14ac:dyDescent="0.3">
      <c r="A445" t="s">
        <v>10</v>
      </c>
      <c r="B445">
        <v>210</v>
      </c>
      <c r="C445">
        <v>1199</v>
      </c>
      <c r="D445">
        <v>1009</v>
      </c>
      <c r="E445" s="1">
        <v>480.47619047619048</v>
      </c>
      <c r="F445">
        <v>16</v>
      </c>
      <c r="G445">
        <v>0</v>
      </c>
      <c r="H445">
        <v>144</v>
      </c>
      <c r="I445">
        <f t="shared" si="30"/>
        <v>145296</v>
      </c>
      <c r="J445">
        <f t="shared" si="31"/>
        <v>2462</v>
      </c>
      <c r="K445">
        <f t="shared" si="32"/>
        <v>0</v>
      </c>
      <c r="L445">
        <f t="shared" si="33"/>
        <v>194498</v>
      </c>
      <c r="M445">
        <f t="shared" si="34"/>
        <v>0</v>
      </c>
    </row>
    <row r="446" spans="1:13" x14ac:dyDescent="0.3">
      <c r="A446" t="s">
        <v>10</v>
      </c>
      <c r="B446">
        <v>210</v>
      </c>
      <c r="C446">
        <v>1199</v>
      </c>
      <c r="D446">
        <v>1009</v>
      </c>
      <c r="E446" s="1">
        <v>480.47619047619048</v>
      </c>
      <c r="F446">
        <v>16</v>
      </c>
      <c r="G446">
        <v>0</v>
      </c>
      <c r="H446">
        <v>144</v>
      </c>
      <c r="I446">
        <f t="shared" si="30"/>
        <v>145296</v>
      </c>
      <c r="J446">
        <f t="shared" si="31"/>
        <v>2462</v>
      </c>
      <c r="K446">
        <f t="shared" si="32"/>
        <v>0</v>
      </c>
      <c r="L446">
        <f t="shared" si="33"/>
        <v>194498</v>
      </c>
      <c r="M446">
        <f t="shared" si="34"/>
        <v>0</v>
      </c>
    </row>
    <row r="447" spans="1:13" x14ac:dyDescent="0.3">
      <c r="A447" t="s">
        <v>11</v>
      </c>
      <c r="B447">
        <v>750</v>
      </c>
      <c r="C447">
        <v>4999</v>
      </c>
      <c r="D447">
        <v>3818</v>
      </c>
      <c r="E447" s="1">
        <v>509.06666666666672</v>
      </c>
      <c r="F447">
        <v>23</v>
      </c>
      <c r="G447">
        <v>1</v>
      </c>
      <c r="H447">
        <v>752</v>
      </c>
      <c r="I447">
        <f t="shared" si="30"/>
        <v>2871136</v>
      </c>
      <c r="J447">
        <f t="shared" si="31"/>
        <v>3070</v>
      </c>
      <c r="K447">
        <f t="shared" si="32"/>
        <v>0</v>
      </c>
      <c r="L447">
        <f t="shared" si="33"/>
        <v>242530</v>
      </c>
      <c r="M447">
        <f t="shared" si="34"/>
        <v>0</v>
      </c>
    </row>
    <row r="448" spans="1:13" x14ac:dyDescent="0.3">
      <c r="A448" t="s">
        <v>11</v>
      </c>
      <c r="B448">
        <v>750</v>
      </c>
      <c r="C448">
        <v>4999</v>
      </c>
      <c r="D448">
        <v>3818</v>
      </c>
      <c r="E448" s="1">
        <v>509.06666666666672</v>
      </c>
      <c r="F448">
        <v>23</v>
      </c>
      <c r="G448">
        <v>1</v>
      </c>
      <c r="H448">
        <v>752</v>
      </c>
      <c r="I448">
        <f t="shared" si="30"/>
        <v>2871136</v>
      </c>
      <c r="J448">
        <f t="shared" si="31"/>
        <v>3070</v>
      </c>
      <c r="K448">
        <f t="shared" si="32"/>
        <v>0</v>
      </c>
      <c r="L448">
        <f t="shared" si="33"/>
        <v>242530</v>
      </c>
      <c r="M448">
        <f t="shared" si="34"/>
        <v>0</v>
      </c>
    </row>
    <row r="449" spans="1:13" x14ac:dyDescent="0.3">
      <c r="A449" t="s">
        <v>8</v>
      </c>
      <c r="B449">
        <v>0.5</v>
      </c>
      <c r="C449">
        <v>275</v>
      </c>
      <c r="D449">
        <v>172</v>
      </c>
      <c r="E449" s="1">
        <v>34400</v>
      </c>
      <c r="F449">
        <v>37</v>
      </c>
      <c r="G449">
        <v>2</v>
      </c>
      <c r="H449">
        <v>2213</v>
      </c>
      <c r="I449">
        <f t="shared" si="30"/>
        <v>380636</v>
      </c>
      <c r="J449">
        <f t="shared" si="31"/>
        <v>4531</v>
      </c>
      <c r="K449">
        <f t="shared" si="32"/>
        <v>0</v>
      </c>
      <c r="L449">
        <f t="shared" si="33"/>
        <v>357949</v>
      </c>
      <c r="M449">
        <f t="shared" si="34"/>
        <v>0</v>
      </c>
    </row>
  </sheetData>
  <autoFilter ref="A1:M1" xr:uid="{00000000-0001-0000-0000-000000000000}"/>
  <sortState xmlns:xlrd2="http://schemas.microsoft.com/office/spreadsheetml/2017/richdata2" ref="A2:G449">
    <sortCondition ref="E1:E4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Cluster_Analysis</vt:lpstr>
      <vt:lpstr>Main_Data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 Singh</cp:lastModifiedBy>
  <dcterms:created xsi:type="dcterms:W3CDTF">2026-05-30T11:29:30Z</dcterms:created>
  <dcterms:modified xsi:type="dcterms:W3CDTF">2026-06-05T06:55:19Z</dcterms:modified>
</cp:coreProperties>
</file>