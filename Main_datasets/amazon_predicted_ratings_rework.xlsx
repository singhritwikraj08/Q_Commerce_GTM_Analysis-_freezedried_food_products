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Dataset_git\Rework\"/>
    </mc:Choice>
  </mc:AlternateContent>
  <xr:revisionPtr revIDLastSave="0" documentId="13_ncr:1_{4A612E1E-7C91-421E-80A0-E8C63DD533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Sheet1!$A$1:$I$153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2" i="1"/>
  <c r="E4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3" i="1"/>
  <c r="E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53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152" i="1"/>
  <c r="H42" i="1"/>
  <c r="H43" i="1"/>
  <c r="H44" i="1"/>
  <c r="H45" i="1"/>
  <c r="H46" i="1"/>
  <c r="H47" i="1"/>
  <c r="H148" i="1"/>
  <c r="H49" i="1"/>
  <c r="H50" i="1"/>
  <c r="H51" i="1"/>
  <c r="H149" i="1"/>
  <c r="H137" i="1"/>
  <c r="H54" i="1"/>
  <c r="H55" i="1"/>
  <c r="H56" i="1"/>
  <c r="H57" i="1"/>
  <c r="H150" i="1"/>
  <c r="H59" i="1"/>
  <c r="H151" i="1"/>
  <c r="H61" i="1"/>
  <c r="H141" i="1"/>
  <c r="H138" i="1"/>
  <c r="H129" i="1"/>
  <c r="H142" i="1"/>
  <c r="H66" i="1"/>
  <c r="H124" i="1"/>
  <c r="H68" i="1"/>
  <c r="H143" i="1"/>
  <c r="H125" i="1"/>
  <c r="H130" i="1"/>
  <c r="H144" i="1"/>
  <c r="H139" i="1"/>
  <c r="H131" i="1"/>
  <c r="H75" i="1"/>
  <c r="H126" i="1"/>
  <c r="H145" i="1"/>
  <c r="H127" i="1"/>
  <c r="H79" i="1"/>
  <c r="H119" i="1"/>
  <c r="H81" i="1"/>
  <c r="H146" i="1"/>
  <c r="H115" i="1"/>
  <c r="H140" i="1"/>
  <c r="H132" i="1"/>
  <c r="H86" i="1"/>
  <c r="H147" i="1"/>
  <c r="H133" i="1"/>
  <c r="H112" i="1"/>
  <c r="H90" i="1"/>
  <c r="H120" i="1"/>
  <c r="H92" i="1"/>
  <c r="H113" i="1"/>
  <c r="H128" i="1"/>
  <c r="H121" i="1"/>
  <c r="H96" i="1"/>
  <c r="H135" i="1"/>
  <c r="H108" i="1"/>
  <c r="H103" i="1"/>
  <c r="H136" i="1"/>
  <c r="H116" i="1"/>
  <c r="H122" i="1"/>
  <c r="H114" i="1"/>
  <c r="H123" i="1"/>
  <c r="H109" i="1"/>
  <c r="H118" i="1"/>
  <c r="H107" i="1"/>
  <c r="H100" i="1"/>
  <c r="H101" i="1"/>
  <c r="H111" i="1"/>
  <c r="H104" i="1"/>
  <c r="H93" i="1"/>
  <c r="H94" i="1"/>
  <c r="H110" i="1"/>
  <c r="H95" i="1"/>
  <c r="H97" i="1"/>
  <c r="H85" i="1"/>
  <c r="H105" i="1"/>
  <c r="H74" i="1"/>
  <c r="H70" i="1"/>
  <c r="H106" i="1"/>
  <c r="H88" i="1"/>
  <c r="H84" i="1"/>
  <c r="H76" i="1"/>
  <c r="H89" i="1"/>
  <c r="H67" i="1"/>
  <c r="H117" i="1"/>
  <c r="H80" i="1"/>
  <c r="H77" i="1"/>
  <c r="H91" i="1"/>
  <c r="H82" i="1"/>
  <c r="H102" i="1"/>
  <c r="H98" i="1"/>
  <c r="H134" i="1"/>
  <c r="H71" i="1"/>
  <c r="H87" i="1"/>
  <c r="H72" i="1"/>
  <c r="H99" i="1"/>
  <c r="H65" i="1"/>
  <c r="H73" i="1"/>
  <c r="H60" i="1"/>
  <c r="H69" i="1"/>
  <c r="H78" i="1"/>
  <c r="H63" i="1"/>
  <c r="H83" i="1"/>
  <c r="H64" i="1"/>
  <c r="H53" i="1"/>
  <c r="H62" i="1"/>
  <c r="H48" i="1"/>
  <c r="H58" i="1"/>
  <c r="H41" i="1"/>
  <c r="H52" i="1"/>
  <c r="H17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53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152" i="1"/>
  <c r="I42" i="1"/>
  <c r="I43" i="1"/>
  <c r="I44" i="1"/>
  <c r="I45" i="1"/>
  <c r="I46" i="1"/>
  <c r="I47" i="1"/>
  <c r="I148" i="1"/>
  <c r="I49" i="1"/>
  <c r="I50" i="1"/>
  <c r="I51" i="1"/>
  <c r="I149" i="1"/>
  <c r="I137" i="1"/>
  <c r="I54" i="1"/>
  <c r="I55" i="1"/>
  <c r="I56" i="1"/>
  <c r="I57" i="1"/>
  <c r="I150" i="1"/>
  <c r="I59" i="1"/>
  <c r="I151" i="1"/>
  <c r="I61" i="1"/>
  <c r="I141" i="1"/>
  <c r="I138" i="1"/>
  <c r="I129" i="1"/>
  <c r="I142" i="1"/>
  <c r="I66" i="1"/>
  <c r="I124" i="1"/>
  <c r="I68" i="1"/>
  <c r="I143" i="1"/>
  <c r="I125" i="1"/>
  <c r="I130" i="1"/>
  <c r="I144" i="1"/>
  <c r="I139" i="1"/>
  <c r="I131" i="1"/>
  <c r="I75" i="1"/>
  <c r="I126" i="1"/>
  <c r="I145" i="1"/>
  <c r="I127" i="1"/>
  <c r="I79" i="1"/>
  <c r="I119" i="1"/>
  <c r="I81" i="1"/>
  <c r="I146" i="1"/>
  <c r="I115" i="1"/>
  <c r="I140" i="1"/>
  <c r="I132" i="1"/>
  <c r="I86" i="1"/>
  <c r="I147" i="1"/>
  <c r="I133" i="1"/>
  <c r="I112" i="1"/>
  <c r="I90" i="1"/>
  <c r="I120" i="1"/>
  <c r="I92" i="1"/>
  <c r="I113" i="1"/>
  <c r="I128" i="1"/>
  <c r="I121" i="1"/>
  <c r="I96" i="1"/>
  <c r="I135" i="1"/>
  <c r="I108" i="1"/>
  <c r="I103" i="1"/>
  <c r="I136" i="1"/>
  <c r="I116" i="1"/>
  <c r="I122" i="1"/>
  <c r="I114" i="1"/>
  <c r="I123" i="1"/>
  <c r="I109" i="1"/>
  <c r="I118" i="1"/>
  <c r="I107" i="1"/>
  <c r="I100" i="1"/>
  <c r="I101" i="1"/>
  <c r="I111" i="1"/>
  <c r="I104" i="1"/>
  <c r="I93" i="1"/>
  <c r="I94" i="1"/>
  <c r="I110" i="1"/>
  <c r="I95" i="1"/>
  <c r="I97" i="1"/>
  <c r="I85" i="1"/>
  <c r="I105" i="1"/>
  <c r="I74" i="1"/>
  <c r="I70" i="1"/>
  <c r="I106" i="1"/>
  <c r="I88" i="1"/>
  <c r="I84" i="1"/>
  <c r="I76" i="1"/>
  <c r="I89" i="1"/>
  <c r="I67" i="1"/>
  <c r="I117" i="1"/>
  <c r="I80" i="1"/>
  <c r="I77" i="1"/>
  <c r="I91" i="1"/>
  <c r="I82" i="1"/>
  <c r="I102" i="1"/>
  <c r="I98" i="1"/>
  <c r="I134" i="1"/>
  <c r="I71" i="1"/>
  <c r="I87" i="1"/>
  <c r="I72" i="1"/>
  <c r="I99" i="1"/>
  <c r="I65" i="1"/>
  <c r="I73" i="1"/>
  <c r="I60" i="1"/>
  <c r="I69" i="1"/>
  <c r="I78" i="1"/>
  <c r="I63" i="1"/>
  <c r="I83" i="1"/>
  <c r="I64" i="1"/>
  <c r="I53" i="1"/>
  <c r="I62" i="1"/>
  <c r="I48" i="1"/>
  <c r="I58" i="1"/>
  <c r="I41" i="1"/>
  <c r="I52" i="1"/>
  <c r="I17" i="1"/>
  <c r="I2" i="1"/>
</calcChain>
</file>

<file path=xl/sharedStrings.xml><?xml version="1.0" encoding="utf-8"?>
<sst xmlns="http://schemas.openxmlformats.org/spreadsheetml/2006/main" count="171" uniqueCount="168">
  <si>
    <t>product-name</t>
  </si>
  <si>
    <t>Price</t>
  </si>
  <si>
    <t>Quantity (in Grams)</t>
  </si>
  <si>
    <t>Total Orders</t>
  </si>
  <si>
    <t>Running_total</t>
  </si>
  <si>
    <t>cummulative_%</t>
  </si>
  <si>
    <t>Projected_ratings</t>
  </si>
  <si>
    <t>FZYEZY Natural Freeze Dried Mango Fruit for Kids and Adults</t>
  </si>
  <si>
    <t>FzyEzy Freeze-Dried Jain Kadhi Khichdi -</t>
  </si>
  <si>
    <t>Hamps Heamwalt Protein Healthy Powder Mix whey Protein</t>
  </si>
  <si>
    <t>FZYEZY Natural Freeze Dried Custard Apple Powder For Kids &amp; Adults</t>
  </si>
  <si>
    <t>FZYEZY Natural Freeze Dried Black Jamun Cubes for Kids and Adults</t>
  </si>
  <si>
    <t>FZYEZY Natural Freeze-dried Strawberry Fruit for Kids and Adults-</t>
  </si>
  <si>
    <t>FZYEZY Natural Freeze Dried Pineapple Powder For Kids &amp; Adults</t>
  </si>
  <si>
    <t>FzyEzy Freeze-Dried Pav Bhaji - Authentic Mumbai Street Style</t>
  </si>
  <si>
    <t>FZYEZY Freeze Dried Black Jamun&amp; Custard Apple for Kids and Adults</t>
  </si>
  <si>
    <t>FZYEZY Natural Freeze Mango Powder for Kids and Adults</t>
  </si>
  <si>
    <t>FzyEzy Healthy Premium Freeze Dried Apple Fruit Powder</t>
  </si>
  <si>
    <t>FzyEzy Healthy Premium Freeze-Dried Pomegranate Kernels</t>
  </si>
  <si>
    <t>FzyEzy Freeze Dried Amla Vegetable Powder for Kids and Adults</t>
  </si>
  <si>
    <t>FzyEzy Healthy Premium Freeze-Dried Strawberry Fruit Slices-</t>
  </si>
  <si>
    <t>FZYEZY Natural Freeze-dried Strawberry Fruit for Kids and Adults</t>
  </si>
  <si>
    <t>Hamps Heamwalt Healthy Powder Mix whey Protein</t>
  </si>
  <si>
    <t>FzyEzy Natural Freeze-dried Mango Powder</t>
  </si>
  <si>
    <t>FZYEZY Freeze Dried Strawberry Fruit for Kids and Adults</t>
  </si>
  <si>
    <t>FZYEZY Natural Freeze Dried Chikoo Powder for Kids and Adults</t>
  </si>
  <si>
    <t>FzyEzy Freeze-Dried Jain Paneer Bhurji -</t>
  </si>
  <si>
    <t>FZYEZY Freeze Dried Amla Vegetable Powder For Kids &amp; Adults</t>
  </si>
  <si>
    <t>FzyEzy Freeze-Dried Poha</t>
  </si>
  <si>
    <t>FZYEZY Freeze Dried Apple Slices for Kids and Adults</t>
  </si>
  <si>
    <t>FZYEZY Freeze Dried Black Jamun &amp; Apple for Kids and Adults</t>
  </si>
  <si>
    <t>FzyEzy Freeze-Dried Poha -</t>
  </si>
  <si>
    <t>FzyEzy Freeze-Dried Prickly Pear Powder - 100% Natural, Non-GMO, Vegan, Gluten-Free Superfruit</t>
  </si>
  <si>
    <t>FZYEZY Natural Freeze Dried Prickly Pear Powder for Adults Super food daily red purpose</t>
  </si>
  <si>
    <t>FzyEzy Gourmet Freeze-Dried Upma - Authentic South Indian Breakfast Delight</t>
  </si>
  <si>
    <t>FZYEZY Natural Freeze Dried Banana Slices for Kids and Adults</t>
  </si>
  <si>
    <t>FzyEzy Healthy Natural Premium Freeze Dried Banana Fruit Powder for Kids and Adults</t>
  </si>
  <si>
    <t>FzyEzy Healthy Premium Freeze Dried Beet Vegetable Powder for Kids and Adults</t>
  </si>
  <si>
    <t>FzyEzy Freeze-Dried Palak Paneer - Ready-to-Eat</t>
  </si>
  <si>
    <t>FzyEzy Freeze-Dried Upma</t>
  </si>
  <si>
    <t>FZYEZY Natural Freeze Dried White Guava Powder for Kids and Adults</t>
  </si>
  <si>
    <t>FZYEZY Freeze Dried Pineapple Fruit for Kids and Adults</t>
  </si>
  <si>
    <t>FZYEZY Natural Freeze Dried Amla Fruit Powder for Kids and Adults -</t>
  </si>
  <si>
    <t>FZYEZY Pure &amp; Natural Premium Mango Fruit Powder for Cooking, Baking, Smoothies</t>
  </si>
  <si>
    <t>FzyEzy Freeze-Dried Gajar Ka Halwa - Indulge in an Authentic Indian Dessert Made with Premium Carrots, Milk, and Dry Fruits</t>
  </si>
  <si>
    <t>FzyEzy Freeze-Dried Gujarati Dal Bhat</t>
  </si>
  <si>
    <t>FZYEZY Freeze Dried Mango Powder &amp; Banana for Kids and Adults</t>
  </si>
  <si>
    <t>FZYEZY Freeze Dried Pineapple Powder for Kids and Adults</t>
  </si>
  <si>
    <t>FzyEzy Freeze-Dried Jain Paneer Butter Masala -</t>
  </si>
  <si>
    <t>FzyEzy Freeze-Dried Paneer Butter Masala - Ready-to-Eat Indian Curry</t>
  </si>
  <si>
    <t>FzyEzy Healthy Premium Freeze-Dried Apple Fruit Slices</t>
  </si>
  <si>
    <t>FZYEZY Freeze Dried Amla Powder for Kids and Adults</t>
  </si>
  <si>
    <t>FZYEZY Natural Freeze Dried Beet Powder for Kids and Adults -</t>
  </si>
  <si>
    <t>Oxynxt Freeze-dried Beet Powder Sachets-10 Count</t>
  </si>
  <si>
    <t>FZYEZY Freeze Dried Pomegranate Kernels for Kids and Adults</t>
  </si>
  <si>
    <t>FzyEzy Freeze-Dried Paneer Bhurji</t>
  </si>
  <si>
    <t>FzyEzy Freeze Dried Beetroot Vegetable Powder for Kids and Adults</t>
  </si>
  <si>
    <t>FzyEzy Freeze Dried Gajar Ka Halwa</t>
  </si>
  <si>
    <t>FzyEzy Freeze-Dried Moong Dal Sheera</t>
  </si>
  <si>
    <t>FzyEzy Healthy Natural Premium Freeze Dried White Guava Fruit Powder for Kids and Adults</t>
  </si>
  <si>
    <t>FzyEzy Freeze-Dried Palak Paneer</t>
  </si>
  <si>
    <t>FzyEzy Natural Freeze Dried Custard Apple Powder for Kids and Adults</t>
  </si>
  <si>
    <t>FZYEZY Freeze Dried Mango Fruit for Kids and Adults</t>
  </si>
  <si>
    <t>FzyEzy Freeze-Dried Chikoo (Sapota) Powder - 100% Natural, Non-GMO, Vegan, Gluten-Free Fruit Powder</t>
  </si>
  <si>
    <t>FzyEzy Freeze-Dried Kiwi Fruit Powder - 100% Natural, Non-GMO, Vegan, Gluten-Free Superfruit</t>
  </si>
  <si>
    <t>FZYEZY Freeze Dried Custard Apple Fruit Powder for Kids and Adults</t>
  </si>
  <si>
    <t>FzyEzy Healthy Premium Freeze Dried Prickly Pear Cactus Powder for Kids and Adults</t>
  </si>
  <si>
    <t>FzyEzy Freeze-Dried Paneer Gotala</t>
  </si>
  <si>
    <t>FzyEzy Freeze-Dried Veg. Makhanwala</t>
  </si>
  <si>
    <t>Heamwalt - Whey Protein, Vitamins, Minerals &amp; DHA Powder</t>
  </si>
  <si>
    <t>FzyEzy Freeze-Dried Spinach Powder - 100% Natural, Non-GMO, Vegan, Gluten-Free Superfood</t>
  </si>
  <si>
    <t>FzyEzy Healthy Natural Premium Freeze Dried Custard Apple Fruit Powder for Kids and Adults</t>
  </si>
  <si>
    <t>FzyEzy Premium Natural Wheatgrass Powder</t>
  </si>
  <si>
    <t>Oxynxt Freeze-dried Daily Green Powder Sachets - 10 Count</t>
  </si>
  <si>
    <t>FZYEZY Natural Freeze Dried Black Jamun for Kids and Adults</t>
  </si>
  <si>
    <t>FzyEzy Freeze-Dried Gajar Ka Halwa</t>
  </si>
  <si>
    <t>FzyEzy Freeze-Dried Jain Paneer Butter Masala</t>
  </si>
  <si>
    <t>FZYEZY Freeze Dried Pink Guava Powder for Kids and Adults</t>
  </si>
  <si>
    <t>FZYEZY Natural Freeze Dried Pineapple Slices for Kids and Adults</t>
  </si>
  <si>
    <t>FzyEzy Natural Freeze Dried Pomegranate Powder for Kids and Adults</t>
  </si>
  <si>
    <t>FZYEZY Healthy Natural Premium Freeze Dried Strawberry Fruit Powder For Kids &amp; Adults</t>
  </si>
  <si>
    <t>Oxynxt Freeze-dried Prickly Pear Powder Sachets - 10 Count</t>
  </si>
  <si>
    <t>FzyEzy Healthy Natural Premium Freeze Dried Pineapple Fruit Powder</t>
  </si>
  <si>
    <t>FzyEzy Freeze-Dried Masala Kadhi Khichdi</t>
  </si>
  <si>
    <t>FzyEzy Freeze Dried Fruit Powder for Gourmet</t>
  </si>
  <si>
    <t>FzyEzy Freeze-Dried Jain Paneer Bhurji</t>
  </si>
  <si>
    <t>FZYEZY Freeze Dried Custard Apple Fruit for Kids and Adults</t>
  </si>
  <si>
    <t>FZYEZY Natural Freeze Dried Mango Powder for Kids and Adults</t>
  </si>
  <si>
    <t>FzyEzy Freeze-Dried Jain Kadhi Khichdi</t>
  </si>
  <si>
    <t>FZYEZY Natural Freeze Dried Chikoo Fruit Powder for Kids and Adults</t>
  </si>
  <si>
    <t>FzyEzy Freeze-Dried Veg Makhanwala</t>
  </si>
  <si>
    <t>FZYEZY Natural Freeze Dried Apple Powder for Kids and Adults</t>
  </si>
  <si>
    <t>FZYEZY Freeze Dried Black Jamun Fruit for Kids and Adults</t>
  </si>
  <si>
    <t>FzyEzy Freeze-dried Strawberry Fruit Powder</t>
  </si>
  <si>
    <t>FzyEzy Freeze-Dried Spinach Powder</t>
  </si>
  <si>
    <t>FzyEzy Healthy Premium Freeze-Dried Kiwi Fruit Slices</t>
  </si>
  <si>
    <t>FzyEzy Freeze-Dried Jain Pav Bhaji -</t>
  </si>
  <si>
    <t>FzyEzy Healthy Natural Premium Freeze Dried White Guava Fruit Powder</t>
  </si>
  <si>
    <t>FzyEzy Healthy Natural Premium Freeze Dried Strawberry Fruit Powder for Kids and Adults</t>
  </si>
  <si>
    <t>FZYEZY Natural Freeze Dried Black Jamun Chunks for Kids and Adults</t>
  </si>
  <si>
    <t>FZYEZY Freeze Dried Mango Fruit Powder for Kids and Adults</t>
  </si>
  <si>
    <t>FzyEzy Freeze-Dried Fruit Snacks - 100% Natural, Crunchy &amp; Healthy Real Fruit Bites</t>
  </si>
  <si>
    <t>FzyEzy Freeze-Dried Celery Powder - 100% Natural, Non-GMO, Vegan, Gluten-Free Superfood</t>
  </si>
  <si>
    <t>FzyEzy Healthy Premium Freeze-dried Banana Fruit Powder</t>
  </si>
  <si>
    <t>FzyEzy Freeze Dried Ginger Vegetable Powder for Kids and Adults</t>
  </si>
  <si>
    <t>FzyEzy Healthy Natural Premium Freeze Dried Pomegranate for Kids and Adults</t>
  </si>
  <si>
    <t>FzyEzy Freeze-Dried Jeera Rice</t>
  </si>
  <si>
    <t>FzyEzy Healthy Natural Premium Freeze Dried Mango Fruit for Kids and Adults</t>
  </si>
  <si>
    <t>FzyEzy Freeze-Dried Pav Bhaji Masala</t>
  </si>
  <si>
    <t>FzyEzy Gourmet Freeze-Dried Paneer Bhurji - Authentic Indian Culinary Delight</t>
  </si>
  <si>
    <t>FzyEzy Natural Freeze Dried Pink Guava Powder for Kids and Adults</t>
  </si>
  <si>
    <t>FzyEzy Healthy Premium Freeze Dried Banana Fruit Powder</t>
  </si>
  <si>
    <t>FzyEzy Healthy Premium Freeze-Dried Jackfruit Fruit Slices</t>
  </si>
  <si>
    <t>FzyEzy Premium Moringa Vegetable Powder</t>
  </si>
  <si>
    <t>FzyEzy Freeze-Dried Apple Powder - 100% Natural, Non-GMO, Vegan, Gluten-Free Fruit Powder</t>
  </si>
  <si>
    <t>FzyEzy Freeze-Dried Jain Dal Fry -</t>
  </si>
  <si>
    <t>FzyEzy Healthy Natural Premium Freeze Dried Chikoo(sapota) Fruit Powder for Kids and Adults</t>
  </si>
  <si>
    <t>FzyEzy Healthy Premium Freeze-dried Beet Vegetable Powder</t>
  </si>
  <si>
    <t>FzyEzy Freeze-Dried Jain Gujarati Dal Bhat</t>
  </si>
  <si>
    <t>FzyEzy Freeze Dried Strawberry Fruit Powder for Kids and Adults</t>
  </si>
  <si>
    <t>FZYEZY Natural Freeze Dried Chikoo Fruit for Kids and Adults</t>
  </si>
  <si>
    <t>FzyEzy Freeze-Dried Jain Pav Bhaji</t>
  </si>
  <si>
    <t>Hamps Heamwalt - Whey Protein, Vitamins, Minerals &amp; DHA Powder</t>
  </si>
  <si>
    <t>FzyEzy Healthy Premium Freeze-Dried Black Jamun Fruit Chunks</t>
  </si>
  <si>
    <t>FZYEZY Natural Freeze Dried Fruit for Kids and Adults</t>
  </si>
  <si>
    <t>FzyEzy Healthy Dried Fruits Candy/Chips/Slices</t>
  </si>
  <si>
    <t>FZYEZY Natural Freeze Dried Strawberry Powder for Kids and Adults</t>
  </si>
  <si>
    <t>FzyEzy Freeze-Dried Jain Dal Fry</t>
  </si>
  <si>
    <t>FZYEZY Natural Freeze Dried Banana Powder for Kids and Adults</t>
  </si>
  <si>
    <t>FzyEzy Healthy Natural Premium Freeze-dried banana fruit powder for kids &amp; adults</t>
  </si>
  <si>
    <t>FzyEzy Healthy Premium Freeze-Dried Banana Fruit Slices</t>
  </si>
  <si>
    <t>FzyEzy Healthy Premium Freeze-Dried Pineapple Fruit Slices</t>
  </si>
  <si>
    <t>FzyEzy Freeze-Dried Blueberry Powder - 100% Natural, Non-GMO, Vegan, Gluten-Free Superfruit</t>
  </si>
  <si>
    <t>FzyEzy Freeze-dried Mango Fruit Chunks</t>
  </si>
  <si>
    <t>FzyEzy Natural Freeze Dried Pineapple Powder for Kids and Adults</t>
  </si>
  <si>
    <t>FzyEzy Freeze-Dried Pink Guava Powder - 100% Natural, Non-GMO, Vegan, Gluten-Free Fruit Powder</t>
  </si>
  <si>
    <t>FzyEzy Healthy Premium Freeze-dried Strawberry Fruit Powder</t>
  </si>
  <si>
    <t>FzyEzy Freeze-Dried Pomegranate Powder - 100% Natural, Non-GMO, Vegan, Gluten-Free Superfruit</t>
  </si>
  <si>
    <t>FzyEzy Healthy Premium Freeze Dried Strawberry Fruit Powder</t>
  </si>
  <si>
    <t>Hamps Bio OXYNXT Gold Sachet</t>
  </si>
  <si>
    <t>FZYEZY Natural Freeze Dried Mango Cubes for Kids and Adults</t>
  </si>
  <si>
    <t>FzyEzy Healthy Premium Freeze Dried Mango Fruit Powder</t>
  </si>
  <si>
    <t>FzyEzy Healthy Natural Premium Freeze Dried Pomegranate Fruit Powder for Kids and Adults</t>
  </si>
  <si>
    <t>FzyEzy Freeze-Dried Avocado Powder - 100% Natural, Non-GMO, Vegan, Gluten-Free Superfood</t>
  </si>
  <si>
    <t>FzyEzy Healthy Premium Freeze-Dried Mango Fruit Chunks</t>
  </si>
  <si>
    <t>FZYEZY Freeze Dried Blueberry Fruit Powder For Kids And Adults</t>
  </si>
  <si>
    <t>FzyEzy Healthy Premium Freeze Dried Beet Vegetable Powder</t>
  </si>
  <si>
    <t>FzyEzy Freeze Dried Blueberry Powder for Kids and Adults</t>
  </si>
  <si>
    <t>FzyEzy Freeze-Dried Broccoli Powder - 100% Natural, Non-GMO, Vegan, Gluten-Free Superfood</t>
  </si>
  <si>
    <t>FZYEZY Healthy Natural Premium Freeze Dried Pomegranate Fruit Powder For Kids &amp; Adults</t>
  </si>
  <si>
    <t>FzyEzy Freeze-Dried Dragon Fruit Powder - 100% Natural, Non-GMO, Vegan, Gluten-Free Superfruit</t>
  </si>
  <si>
    <t>FzyEzy Premium Spirulina Green Algae Powder</t>
  </si>
  <si>
    <t>FZYEZY Freeze Dried Fruit Powder for Kids and Adults</t>
  </si>
  <si>
    <t>FzyEzy Natural Freeze Dried Black Jamun Powder for Kids and Adults</t>
  </si>
  <si>
    <t>FzyEzy Healthy Premium Freeze-Dried Strawberry Fruit Snacks</t>
  </si>
  <si>
    <t>FzyEzy Healthy Premium Freeze-Dried Strawberry Fruit Slices</t>
  </si>
  <si>
    <t>FZYEZY Natural Freeze Dried Black Jamun Powder For Kids &amp; Adults</t>
  </si>
  <si>
    <t>FzyEzy Healthy Premium Freeze-dried Prickly Pear Powder</t>
  </si>
  <si>
    <t>FzyEzy Premium Organic Barley Grass Powder</t>
  </si>
  <si>
    <t>cluster</t>
  </si>
  <si>
    <t>Row Labels</t>
  </si>
  <si>
    <t>Grand Total</t>
  </si>
  <si>
    <t>Count of cluster</t>
  </si>
  <si>
    <t>Sum of Projected_ratings</t>
  </si>
  <si>
    <t>Average of Price</t>
  </si>
  <si>
    <t>Projected_revenue</t>
  </si>
  <si>
    <t>Sum of Projected_revenue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</si>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</sst>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 vertical="top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164" formatCode="_ [$₹-4009]\ * #,##0.00_ ;_ [$₹-4009]\ * \-#,##0.00_ ;_ [$₹-4009]\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wik Singh" refreshedDate="46178.516246643521" createdVersion="8" refreshedVersion="8" minRefreshableVersion="3" recordCount="152" xr:uid="{51DDDF03-C2E1-41F1-BD0B-7969258F12E3}">
  <cacheSource type="worksheet">
    <worksheetSource ref="A1:I153" sheet="Sheet1"/>
  </cacheSource>
  <cacheFields count="9">
    <cacheField name="product-name" numFmtId="0">
      <sharedItems/>
    </cacheField>
    <cacheField name="Price" numFmtId="0">
      <sharedItems containsSemiMixedTypes="0" containsString="0" containsNumber="1" containsInteger="1" minValue="115" maxValue="39237"/>
    </cacheField>
    <cacheField name="Quantity (in Grams)" numFmtId="0">
      <sharedItems containsSemiMixedTypes="0" containsString="0" containsNumber="1" containsInteger="1" minValue="20" maxValue="30418"/>
    </cacheField>
    <cacheField name="Total Orders" numFmtId="0">
      <sharedItems containsSemiMixedTypes="0" containsString="0" containsNumber="1" containsInteger="1" minValue="1" maxValue="117"/>
    </cacheField>
    <cacheField name="Running_total" numFmtId="0">
      <sharedItems containsSemiMixedTypes="0" containsString="0" containsNumber="1" containsInteger="1" minValue="115" maxValue="899822"/>
    </cacheField>
    <cacheField name="cummulative_%" numFmtId="9">
      <sharedItems containsSemiMixedTypes="0" containsString="0" containsNumber="1" minValue="1.2780305438186664E-4" maxValue="1"/>
    </cacheField>
    <cacheField name="Projected_ratings" numFmtId="0">
      <sharedItems containsSemiMixedTypes="0" containsString="0" containsNumber="1" containsInteger="1" minValue="319" maxValue="4178"/>
    </cacheField>
    <cacheField name="Projected_revenue" numFmtId="0">
      <sharedItems containsSemiMixedTypes="0" containsString="0" containsNumber="1" containsInteger="1" minValue="172155" maxValue="20246292"/>
    </cacheField>
    <cacheField name="cluster" numFmtId="0">
      <sharedItems containsSemiMixedTypes="0" containsString="0" containsNumber="1" containsInteger="1" minValue="0" maxValue="2" count="2">
        <n v="2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FZYEZY Natural Freeze Dried Mango Fruit for Kids and Adults"/>
    <n v="115"/>
    <n v="20"/>
    <n v="1"/>
    <n v="115"/>
    <n v="1.2780305438186664E-4"/>
    <n v="1497"/>
    <n v="172155"/>
    <x v="0"/>
  </r>
  <r>
    <s v="FzyEzy Freeze-Dried Jain Kadhi Khichdi -"/>
    <n v="150"/>
    <n v="48"/>
    <n v="1"/>
    <n v="265"/>
    <n v="2.9450269053212744E-4"/>
    <n v="1435"/>
    <n v="215250"/>
    <x v="0"/>
  </r>
  <r>
    <s v="Hamps Heamwalt Protein Healthy Powder Mix whey Protein"/>
    <n v="185"/>
    <n v="200"/>
    <n v="1"/>
    <n v="450"/>
    <n v="5.0009890845078252E-4"/>
    <n v="1552"/>
    <n v="287120"/>
    <x v="0"/>
  </r>
  <r>
    <s v="FZYEZY Natural Freeze Dried Custard Apple Powder For Kids &amp; Adults"/>
    <n v="195"/>
    <n v="50"/>
    <n v="1"/>
    <n v="645"/>
    <n v="7.1680843544612153E-4"/>
    <n v="2377"/>
    <n v="463515"/>
    <x v="0"/>
  </r>
  <r>
    <s v="FZYEZY Natural Freeze Dried Black Jamun Cubes for Kids and Adults"/>
    <n v="200"/>
    <n v="40"/>
    <n v="1"/>
    <n v="845"/>
    <n v="9.3907461697980267E-4"/>
    <n v="2842"/>
    <n v="568400"/>
    <x v="0"/>
  </r>
  <r>
    <s v="FZYEZY Natural Freeze-dried Strawberry Fruit for Kids and Adults-"/>
    <n v="217"/>
    <n v="28"/>
    <n v="1"/>
    <n v="1062"/>
    <n v="1.1802334239438468E-3"/>
    <n v="2677"/>
    <n v="580909"/>
    <x v="0"/>
  </r>
  <r>
    <s v="FZYEZY Natural Freeze Dried Pineapple Powder For Kids &amp; Adults"/>
    <n v="220"/>
    <n v="50"/>
    <n v="1"/>
    <n v="1282"/>
    <n v="1.424726223630896E-3"/>
    <n v="2842"/>
    <n v="625240"/>
    <x v="0"/>
  </r>
  <r>
    <s v="FzyEzy Freeze-Dried Pav Bhaji - Authentic Mumbai Street Style"/>
    <n v="320"/>
    <n v="130"/>
    <n v="1"/>
    <n v="1602"/>
    <n v="1.7803521140847857E-3"/>
    <n v="690"/>
    <n v="220800"/>
    <x v="0"/>
  </r>
  <r>
    <s v="FZYEZY Freeze Dried Black Jamun&amp; Custard Apple for Kids and Adults"/>
    <n v="360"/>
    <n v="100"/>
    <n v="1"/>
    <n v="1962"/>
    <n v="2.1804312408454118E-3"/>
    <n v="750"/>
    <n v="270000"/>
    <x v="0"/>
  </r>
  <r>
    <s v="FZYEZY Natural Freeze Mango Powder for Kids and Adults"/>
    <n v="380"/>
    <n v="100"/>
    <n v="1"/>
    <n v="2342"/>
    <n v="2.6027369857594056E-3"/>
    <n v="750"/>
    <n v="285000"/>
    <x v="0"/>
  </r>
  <r>
    <s v="FzyEzy Healthy Premium Freeze Dried Apple Fruit Powder"/>
    <n v="440"/>
    <n v="100"/>
    <n v="1"/>
    <n v="2782"/>
    <n v="3.091722585133504E-3"/>
    <n v="750"/>
    <n v="330000"/>
    <x v="0"/>
  </r>
  <r>
    <s v="FzyEzy Healthy Premium Freeze-Dried Pomegranate Kernels"/>
    <n v="440"/>
    <n v="100"/>
    <n v="1"/>
    <n v="3222"/>
    <n v="3.5807081845076025E-3"/>
    <n v="750"/>
    <n v="330000"/>
    <x v="0"/>
  </r>
  <r>
    <s v="FzyEzy Freeze Dried Amla Vegetable Powder for Kids and Adults"/>
    <n v="240"/>
    <n v="100"/>
    <n v="2"/>
    <n v="3462"/>
    <n v="3.84742760234802E-3"/>
    <n v="3398"/>
    <n v="815520"/>
    <x v="0"/>
  </r>
  <r>
    <s v="FzyEzy Healthy Premium Freeze-Dried Strawberry Fruit Slices-"/>
    <n v="480"/>
    <n v="56"/>
    <n v="1"/>
    <n v="3942"/>
    <n v="4.3808664380288543E-3"/>
    <n v="750"/>
    <n v="360000"/>
    <x v="0"/>
  </r>
  <r>
    <s v="FZYEZY Natural Freeze-dried Strawberry Fruit for Kids and Adults"/>
    <n v="240"/>
    <n v="32"/>
    <n v="2"/>
    <n v="4182"/>
    <n v="4.6475858558692722E-3"/>
    <n v="3723"/>
    <n v="893520"/>
    <x v="0"/>
  </r>
  <r>
    <s v="FzyEzy Premium Organic Barley Grass Powder"/>
    <n v="31983"/>
    <n v="30418"/>
    <n v="117"/>
    <n v="36165"/>
    <n v="4.0191282275827883E-2"/>
    <n v="516"/>
    <n v="16503228"/>
    <x v="1"/>
  </r>
  <r>
    <s v="FzyEzy Natural Freeze-dried Mango Powder"/>
    <n v="699"/>
    <n v="450"/>
    <n v="1"/>
    <n v="36864"/>
    <n v="4.0968102580288102E-2"/>
    <n v="4178"/>
    <n v="2920422"/>
    <x v="0"/>
  </r>
  <r>
    <s v="FZYEZY Freeze Dried Strawberry Fruit for Kids and Adults"/>
    <n v="749"/>
    <n v="150"/>
    <n v="1"/>
    <n v="37613"/>
    <n v="4.1800489430131739E-2"/>
    <n v="884"/>
    <n v="662116"/>
    <x v="0"/>
  </r>
  <r>
    <s v="FZYEZY Natural Freeze Dried Chikoo Powder for Kids and Adults"/>
    <n v="780"/>
    <n v="200"/>
    <n v="1"/>
    <n v="38393"/>
    <n v="4.2667327538113094E-2"/>
    <n v="847"/>
    <n v="660660"/>
    <x v="0"/>
  </r>
  <r>
    <s v="FzyEzy Freeze-Dried Jain Paneer Bhurji -"/>
    <n v="400"/>
    <n v="140"/>
    <n v="2"/>
    <n v="38793"/>
    <n v="4.3111859901180459E-2"/>
    <n v="750"/>
    <n v="300000"/>
    <x v="0"/>
  </r>
  <r>
    <s v="FZYEZY Freeze Dried Amla Vegetable Powder For Kids &amp; Adults"/>
    <n v="297"/>
    <n v="150"/>
    <n v="3"/>
    <n v="39090"/>
    <n v="4.344192518075797E-2"/>
    <n v="585"/>
    <n v="173745"/>
    <x v="0"/>
  </r>
  <r>
    <s v="FzyEzy Freeze-Dried Poha"/>
    <n v="240"/>
    <n v="200"/>
    <n v="4"/>
    <n v="39330"/>
    <n v="4.3708644598598391E-2"/>
    <n v="3829"/>
    <n v="918960"/>
    <x v="0"/>
  </r>
  <r>
    <s v="FZYEZY Freeze Dried Apple Slices for Kids and Adults"/>
    <n v="1000"/>
    <n v="140"/>
    <n v="1"/>
    <n v="40330"/>
    <n v="4.4819975506266797E-2"/>
    <n v="884"/>
    <n v="884000"/>
    <x v="0"/>
  </r>
  <r>
    <s v="FZYEZY Freeze Dried Black Jamun &amp; Apple for Kids and Adults"/>
    <n v="1020"/>
    <n v="300"/>
    <n v="1"/>
    <n v="41350"/>
    <n v="4.5953533032088566E-2"/>
    <n v="1016"/>
    <n v="1036320"/>
    <x v="0"/>
  </r>
  <r>
    <s v="FzyEzy Freeze-Dried Poha -"/>
    <n v="360"/>
    <n v="300"/>
    <n v="3"/>
    <n v="41710"/>
    <n v="4.6353612158849193E-2"/>
    <n v="881"/>
    <n v="317160"/>
    <x v="0"/>
  </r>
  <r>
    <s v="FzyEzy Freeze-Dried Prickly Pear Powder - 100% Natural, Non-GMO, Vegan, Gluten-Free Superfruit"/>
    <n v="1200"/>
    <n v="227"/>
    <n v="1"/>
    <n v="42910"/>
    <n v="4.7687209248051282E-2"/>
    <n v="1016"/>
    <n v="1219200"/>
    <x v="0"/>
  </r>
  <r>
    <s v="FZYEZY Natural Freeze Dried Prickly Pear Powder for Adults Super food daily red purpose"/>
    <n v="600"/>
    <n v="100"/>
    <n v="2"/>
    <n v="43510"/>
    <n v="4.8354007792652323E-2"/>
    <n v="750"/>
    <n v="450000"/>
    <x v="0"/>
  </r>
  <r>
    <s v="FzyEzy Gourmet Freeze-Dried Upma - Authentic South Indian Breakfast Delight"/>
    <n v="469"/>
    <n v="544"/>
    <n v="3"/>
    <n v="43979"/>
    <n v="4.8875221988348809E-2"/>
    <n v="923"/>
    <n v="432887"/>
    <x v="0"/>
  </r>
  <r>
    <s v="FZYEZY Natural Freeze Dried Banana Slices for Kids and Adults"/>
    <n v="470"/>
    <n v="180"/>
    <n v="3"/>
    <n v="44449"/>
    <n v="4.9397547514952955E-2"/>
    <n v="602"/>
    <n v="282940"/>
    <x v="0"/>
  </r>
  <r>
    <s v="FzyEzy Healthy Natural Premium Freeze Dried Banana Fruit Powder for Kids and Adults"/>
    <n v="480"/>
    <n v="150"/>
    <n v="3"/>
    <n v="44929"/>
    <n v="4.9930986350633789E-2"/>
    <n v="750"/>
    <n v="360000"/>
    <x v="0"/>
  </r>
  <r>
    <s v="FzyEzy Healthy Premium Freeze Dried Beet Vegetable Powder for Kids and Adults"/>
    <n v="499"/>
    <n v="150"/>
    <n v="3"/>
    <n v="45428"/>
    <n v="5.0485540473560325E-2"/>
    <n v="750"/>
    <n v="374250"/>
    <x v="0"/>
  </r>
  <r>
    <s v="FzyEzy Freeze-Dried Palak Paneer - Ready-to-Eat"/>
    <n v="600"/>
    <n v="150"/>
    <n v="3"/>
    <n v="46028"/>
    <n v="5.1152339018161366E-2"/>
    <n v="750"/>
    <n v="450000"/>
    <x v="0"/>
  </r>
  <r>
    <s v="FzyEzy Freeze-Dried Upma"/>
    <n v="360"/>
    <n v="408"/>
    <n v="5"/>
    <n v="46388"/>
    <n v="5.1552418144921994E-2"/>
    <n v="4044"/>
    <n v="1455840"/>
    <x v="0"/>
  </r>
  <r>
    <s v="FZYEZY Natural Freeze Dried White Guava Powder for Kids and Adults"/>
    <n v="629"/>
    <n v="150"/>
    <n v="3"/>
    <n v="47017"/>
    <n v="5.2251445285845424E-2"/>
    <n v="750"/>
    <n v="471750"/>
    <x v="0"/>
  </r>
  <r>
    <s v="FZYEZY Freeze Dried Pineapple Fruit for Kids and Adults"/>
    <n v="998"/>
    <n v="230"/>
    <n v="2"/>
    <n v="48015"/>
    <n v="5.3360553531698489E-2"/>
    <n v="1016"/>
    <n v="1013968"/>
    <x v="0"/>
  </r>
  <r>
    <s v="FZYEZY Natural Freeze Dried Amla Fruit Powder for Kids and Adults -"/>
    <n v="998"/>
    <n v="300"/>
    <n v="2"/>
    <n v="49013"/>
    <n v="5.446966177755156E-2"/>
    <n v="1016"/>
    <n v="1013968"/>
    <x v="0"/>
  </r>
  <r>
    <s v="FZYEZY Pure &amp; Natural Premium Mango Fruit Powder for Cooking, Baking, Smoothies"/>
    <n v="1998"/>
    <n v="400"/>
    <n v="1"/>
    <n v="51011"/>
    <n v="5.6690100931073031E-2"/>
    <n v="3981"/>
    <n v="7954038"/>
    <x v="0"/>
  </r>
  <r>
    <s v="FzyEzy Freeze-Dried Gajar Ka Halwa - Indulge in an Authentic Indian Dessert Made with Premium Carrots, Milk, and Dry Fruits"/>
    <n v="750"/>
    <n v="360"/>
    <n v="3"/>
    <n v="51761"/>
    <n v="5.7523599111824336E-2"/>
    <n v="706"/>
    <n v="529500"/>
    <x v="0"/>
  </r>
  <r>
    <s v="FzyEzy Freeze-Dried Gujarati Dal Bhat"/>
    <n v="750"/>
    <n v="300"/>
    <n v="3"/>
    <n v="52511"/>
    <n v="5.8357097292575641E-2"/>
    <n v="1016"/>
    <n v="762000"/>
    <x v="0"/>
  </r>
  <r>
    <s v="FZYEZY Natural Freeze Dried Black Jamun Powder For Kids &amp; Adults"/>
    <n v="25545"/>
    <n v="6550"/>
    <n v="110"/>
    <n v="78056"/>
    <n v="8.6746045328965057E-2"/>
    <n v="516"/>
    <n v="13181220"/>
    <x v="1"/>
  </r>
  <r>
    <s v="FZYEZY Freeze Dried Pineapple Powder for Kids and Adults"/>
    <n v="1140"/>
    <n v="300"/>
    <n v="2"/>
    <n v="79196"/>
    <n v="8.801296256370704E-2"/>
    <n v="1016"/>
    <n v="1158240"/>
    <x v="0"/>
  </r>
  <r>
    <s v="FzyEzy Freeze-Dried Jain Paneer Butter Masala -"/>
    <n v="800"/>
    <n v="300"/>
    <n v="3"/>
    <n v="79996"/>
    <n v="8.890202728984177E-2"/>
    <n v="1016"/>
    <n v="812800"/>
    <x v="0"/>
  </r>
  <r>
    <s v="FzyEzy Freeze-Dried Paneer Butter Masala - Ready-to-Eat Indian Curry"/>
    <n v="840"/>
    <n v="300"/>
    <n v="3"/>
    <n v="80836"/>
    <n v="8.9835545252283225E-2"/>
    <n v="1016"/>
    <n v="853440"/>
    <x v="0"/>
  </r>
  <r>
    <s v="FzyEzy Healthy Premium Freeze-Dried Apple Fruit Slices"/>
    <n v="859"/>
    <n v="320"/>
    <n v="3"/>
    <n v="81695"/>
    <n v="9.0790178501970395E-2"/>
    <n v="1016"/>
    <n v="872744"/>
    <x v="0"/>
  </r>
  <r>
    <s v="FZYEZY Freeze Dried Amla Powder for Kids and Adults"/>
    <n v="579"/>
    <n v="250"/>
    <n v="5"/>
    <n v="82274"/>
    <n v="9.14336390975104E-2"/>
    <n v="881"/>
    <n v="510099"/>
    <x v="0"/>
  </r>
  <r>
    <s v="FZYEZY Natural Freeze Dried Beet Powder for Kids and Adults -"/>
    <n v="1498"/>
    <n v="500"/>
    <n v="2"/>
    <n v="83772"/>
    <n v="9.3098412797197674E-2"/>
    <n v="1057"/>
    <n v="1583386"/>
    <x v="0"/>
  </r>
  <r>
    <s v="FzyEzy Healthy Premium Freeze-Dried Strawberry Fruit Snacks"/>
    <n v="18062"/>
    <n v="2484"/>
    <n v="108"/>
    <n v="101834"/>
    <n v="0.11317127165150441"/>
    <n v="516"/>
    <n v="9319992"/>
    <x v="1"/>
  </r>
  <r>
    <s v="FZYEZY Freeze Dried Pomegranate Kernels for Kids and Adults"/>
    <n v="1200"/>
    <n v="300"/>
    <n v="3"/>
    <n v="103034"/>
    <n v="0.11450486874070649"/>
    <n v="1016"/>
    <n v="1219200"/>
    <x v="0"/>
  </r>
  <r>
    <s v="FzyEzy Freeze-Dried Paneer Bhurji"/>
    <n v="1200"/>
    <n v="420"/>
    <n v="3"/>
    <n v="104234"/>
    <n v="0.11583846582990859"/>
    <n v="4178"/>
    <n v="5013600"/>
    <x v="0"/>
  </r>
  <r>
    <s v="FzyEzy Freeze Dried Beetroot Vegetable Powder for Kids and Adults"/>
    <n v="750"/>
    <n v="250"/>
    <n v="5"/>
    <n v="104984"/>
    <n v="0.11667196401065989"/>
    <n v="1016"/>
    <n v="762000"/>
    <x v="0"/>
  </r>
  <r>
    <s v="FzyEzy Healthy Premium Freeze-dried Prickly Pear Powder"/>
    <n v="31578"/>
    <n v="6200"/>
    <n v="101"/>
    <n v="136562"/>
    <n v="0.15176557141301281"/>
    <n v="516"/>
    <n v="16294248"/>
    <x v="1"/>
  </r>
  <r>
    <s v="FZYEZY Freeze Dried Fruit Powder for Kids and Adults"/>
    <n v="18109"/>
    <n v="4350"/>
    <n v="82"/>
    <n v="154671"/>
    <n v="0.17189066281997994"/>
    <n v="516"/>
    <n v="9344244"/>
    <x v="1"/>
  </r>
  <r>
    <s v="FzyEzy Healthy Natural Premium Freeze Dried White Guava Fruit Powder for Kids and Adults"/>
    <n v="1100"/>
    <n v="250"/>
    <n v="5"/>
    <n v="155771"/>
    <n v="0.1731131268184152"/>
    <n v="1016"/>
    <n v="1117600"/>
    <x v="0"/>
  </r>
  <r>
    <s v="FzyEzy Freeze-Dried Palak Paneer"/>
    <n v="1400"/>
    <n v="350"/>
    <n v="4"/>
    <n v="157171"/>
    <n v="0.17466899008915096"/>
    <n v="706"/>
    <n v="988400"/>
    <x v="0"/>
  </r>
  <r>
    <s v="FzyEzy Natural Freeze Dried Custard Apple Powder for Kids and Adults"/>
    <n v="1430"/>
    <n v="350"/>
    <n v="4"/>
    <n v="158601"/>
    <n v="0.17625819328711678"/>
    <n v="706"/>
    <n v="1009580"/>
    <x v="0"/>
  </r>
  <r>
    <s v="FZYEZY Freeze Dried Mango Fruit for Kids and Adults"/>
    <n v="1158"/>
    <n v="240"/>
    <n v="5"/>
    <n v="159759"/>
    <n v="0.17754511447819679"/>
    <n v="1016"/>
    <n v="1176528"/>
    <x v="0"/>
  </r>
  <r>
    <s v="FzyEzy Healthy Premium Freeze-Dried Strawberry Fruit Slices"/>
    <n v="30456"/>
    <n v="15652"/>
    <n v="74"/>
    <n v="190215"/>
    <n v="0.21139180860214576"/>
    <n v="516"/>
    <n v="15715296"/>
    <x v="1"/>
  </r>
  <r>
    <s v="FzyEzy Freeze-Dried Kiwi Fruit Powder - 100% Natural, Non-GMO, Vegan, Gluten-Free Superfruit"/>
    <n v="3157"/>
    <n v="454"/>
    <n v="2"/>
    <n v="193372"/>
    <n v="0.21490028027765493"/>
    <n v="4178"/>
    <n v="13189946"/>
    <x v="0"/>
  </r>
  <r>
    <s v="FzyEzy Healthy Premium Freeze Dried Beet Vegetable Powder"/>
    <n v="13787"/>
    <n v="4685"/>
    <n v="69"/>
    <n v="207159"/>
    <n v="0.23022219950167921"/>
    <n v="516"/>
    <n v="7114092"/>
    <x v="1"/>
  </r>
  <r>
    <s v="FzyEzy Healthy Premium Freeze Dried Prickly Pear Cactus Powder for Kids and Adults"/>
    <n v="1227"/>
    <n v="300"/>
    <n v="6"/>
    <n v="208386"/>
    <n v="0.23158580252538835"/>
    <n v="1016"/>
    <n v="1246632"/>
    <x v="0"/>
  </r>
  <r>
    <s v="FzyEzy Natural Freeze Dried Black Jamun Powder for Kids and Adults"/>
    <n v="23057"/>
    <n v="4950"/>
    <n v="67"/>
    <n v="231443"/>
    <n v="0.25720975926349876"/>
    <n v="516"/>
    <n v="11897412"/>
    <x v="1"/>
  </r>
  <r>
    <s v="FZYEZY Healthy Natural Premium Freeze Dried Pomegranate Fruit Powder For Kids &amp; Adults"/>
    <n v="17389"/>
    <n v="3950"/>
    <n v="65"/>
    <n v="248832"/>
    <n v="0.27653469241694467"/>
    <n v="516"/>
    <n v="8972724"/>
    <x v="1"/>
  </r>
  <r>
    <s v="FzyEzy Premium Spirulina Green Algae Powder"/>
    <n v="23148"/>
    <n v="13847"/>
    <n v="56"/>
    <n v="271980"/>
    <n v="0.30225978026765293"/>
    <n v="516"/>
    <n v="11944368"/>
    <x v="1"/>
  </r>
  <r>
    <s v="FzyEzy Healthy Premium Freeze-Dried Mango Fruit Chunks"/>
    <n v="19248"/>
    <n v="6060"/>
    <n v="46"/>
    <n v="291228"/>
    <n v="0.32365067757845439"/>
    <n v="516"/>
    <n v="9931968"/>
    <x v="1"/>
  </r>
  <r>
    <s v="FzyEzy Healthy Natural Premium Freeze Dried Custard Apple Fruit Powder for Kids and Adults"/>
    <n v="1618"/>
    <n v="350"/>
    <n v="7"/>
    <n v="292846"/>
    <n v="0.32544881098706191"/>
    <n v="706"/>
    <n v="1142308"/>
    <x v="0"/>
  </r>
  <r>
    <s v="FzyEzy Healthy Premium Freeze-Dried Pineapple Fruit Slices"/>
    <n v="5966"/>
    <n v="1000"/>
    <n v="41"/>
    <n v="298812"/>
    <n v="0.33207901118221161"/>
    <n v="516"/>
    <n v="3078456"/>
    <x v="1"/>
  </r>
  <r>
    <s v="Oxynxt Freeze-dried Daily Green Powder Sachets - 10 Count"/>
    <n v="2392"/>
    <n v="400"/>
    <n v="5"/>
    <n v="301204"/>
    <n v="0.33473731471335444"/>
    <n v="3981"/>
    <n v="9522552"/>
    <x v="0"/>
  </r>
  <r>
    <s v="FzyEzy Freeze Dried Blueberry Powder for Kids and Adults"/>
    <n v="28064"/>
    <n v="2500"/>
    <n v="37"/>
    <n v="329268"/>
    <n v="0.36592570530616053"/>
    <n v="516"/>
    <n v="14481024"/>
    <x v="1"/>
  </r>
  <r>
    <s v="FzyEzy Healthy Dried Fruits Candy/Chips/Slices"/>
    <n v="4123"/>
    <n v="792"/>
    <n v="36"/>
    <n v="333391"/>
    <n v="0.37050772263847737"/>
    <n v="650"/>
    <n v="2679950"/>
    <x v="1"/>
  </r>
  <r>
    <s v="FZYEZY Natural Freeze Dried Mango Cubes for Kids and Adults"/>
    <n v="11869"/>
    <n v="2480"/>
    <n v="36"/>
    <n v="345260"/>
    <n v="0.38369810918159369"/>
    <n v="516"/>
    <n v="6124404"/>
    <x v="1"/>
  </r>
  <r>
    <s v="FzyEzy Healthy Natural Premium Freeze Dried Pomegranate Fruit Powder for Kids and Adults"/>
    <n v="18364"/>
    <n v="11800"/>
    <n v="35"/>
    <n v="363624"/>
    <n v="0.40410658997001631"/>
    <n v="516"/>
    <n v="9475824"/>
    <x v="1"/>
  </r>
  <r>
    <s v="FZYEZY Freeze Dried Blueberry Fruit Powder For Kids And Adults"/>
    <n v="25875"/>
    <n v="2250"/>
    <n v="35"/>
    <n v="389499"/>
    <n v="0.43286227720593629"/>
    <n v="516"/>
    <n v="13351500"/>
    <x v="1"/>
  </r>
  <r>
    <s v="FZYEZY Natural Freeze Dried Fruit for Kids and Adults"/>
    <n v="4542"/>
    <n v="866"/>
    <n v="32"/>
    <n v="394041"/>
    <n v="0.43790994218856616"/>
    <n v="319"/>
    <n v="1448898"/>
    <x v="1"/>
  </r>
  <r>
    <s v="FZYEZY Healthy Natural Premium Freeze Dried Strawberry Fruit Powder For Kids &amp; Adults"/>
    <n v="1814"/>
    <n v="400"/>
    <n v="8"/>
    <n v="395855"/>
    <n v="0.43992589645507668"/>
    <n v="3981"/>
    <n v="7221534"/>
    <x v="0"/>
  </r>
  <r>
    <s v="FzyEzy Healthy Natural Premium Freeze-dried banana fruit powder for kids &amp; adults"/>
    <n v="5588"/>
    <n v="1900"/>
    <n v="32"/>
    <n v="401443"/>
    <n v="0.44613601356712773"/>
    <n v="516"/>
    <n v="2883408"/>
    <x v="1"/>
  </r>
  <r>
    <s v="FzyEzy Natural Freeze Dried Pineapple Powder for Kids and Adults"/>
    <n v="8281"/>
    <n v="1700"/>
    <n v="32"/>
    <n v="409724"/>
    <n v="0.45533894481352977"/>
    <n v="516"/>
    <n v="4272996"/>
    <x v="1"/>
  </r>
  <r>
    <s v="FzyEzy Freeze-Dried Broccoli Powder - 100% Natural, Non-GMO, Vegan, Gluten-Free Superfood"/>
    <n v="35018"/>
    <n v="8172"/>
    <n v="32"/>
    <n v="444742"/>
    <n v="0.49425553053826199"/>
    <n v="516"/>
    <n v="18069288"/>
    <x v="1"/>
  </r>
  <r>
    <s v="FzyEzy Freeze Dried Fruit Powder for Gourmet"/>
    <n v="2874"/>
    <n v="300"/>
    <n v="6"/>
    <n v="447616"/>
    <n v="0.49744949556690099"/>
    <n v="1016"/>
    <n v="2919984"/>
    <x v="0"/>
  </r>
  <r>
    <s v="FzyEzy Freeze-dried Mango Fruit Chunks"/>
    <n v="8142"/>
    <n v="3600"/>
    <n v="31"/>
    <n v="455758"/>
    <n v="0.50649795181713719"/>
    <n v="516"/>
    <n v="4201272"/>
    <x v="1"/>
  </r>
  <r>
    <s v="FZYEZY Freeze Dried Custard Apple Fruit for Kids and Adults"/>
    <n v="2405"/>
    <n v="540"/>
    <n v="8"/>
    <n v="458163"/>
    <n v="0.50917070265007969"/>
    <n v="1057"/>
    <n v="2542085"/>
    <x v="0"/>
  </r>
  <r>
    <s v="FzyEzy Healthy Premium Freeze-dried Strawberry Fruit Powder"/>
    <n v="8810"/>
    <n v="1700"/>
    <n v="31"/>
    <n v="466973"/>
    <n v="0.5189615279466383"/>
    <n v="516"/>
    <n v="4545960"/>
    <x v="1"/>
  </r>
  <r>
    <s v="FzyEzy Freeze-Dried Dragon Fruit Powder - 100% Natural, Non-GMO, Vegan, Gluten-Free Superfruit"/>
    <n v="39237"/>
    <n v="6810"/>
    <n v="30"/>
    <n v="506210"/>
    <n v="0.5625668187708236"/>
    <n v="516"/>
    <n v="20246292"/>
    <x v="1"/>
  </r>
  <r>
    <s v="FZYEZY Natural Freeze Dried Banana Powder for Kids and Adults"/>
    <n v="6705"/>
    <n v="3250"/>
    <n v="24"/>
    <n v="512915"/>
    <n v="0.57001829250674019"/>
    <n v="516"/>
    <n v="3459780"/>
    <x v="1"/>
  </r>
  <r>
    <s v="Hamps Heamwalt - Whey Protein, Vitamins, Minerals &amp; DHA Powder"/>
    <n v="5367"/>
    <n v="9800"/>
    <n v="23"/>
    <n v="518282"/>
    <n v="0.57598280548819658"/>
    <n v="516"/>
    <n v="2769372"/>
    <x v="1"/>
  </r>
  <r>
    <s v="FZYEZY Natural Freeze Dried Apple Powder for Kids and Adults"/>
    <n v="2420"/>
    <n v="550"/>
    <n v="10"/>
    <n v="520702"/>
    <n v="0.57867222628475412"/>
    <n v="1057"/>
    <n v="2557940"/>
    <x v="0"/>
  </r>
  <r>
    <s v="FzyEzy Healthy Premium Freeze Dried Mango Fruit Powder"/>
    <n v="21989"/>
    <n v="6356"/>
    <n v="23"/>
    <n v="542691"/>
    <n v="0.60310928161347466"/>
    <n v="516"/>
    <n v="11346324"/>
    <x v="1"/>
  </r>
  <r>
    <s v="FzyEzy Freeze-Dried Jain Dal Fry"/>
    <n v="7200"/>
    <n v="2700"/>
    <n v="22"/>
    <n v="549891"/>
    <n v="0.61111086414868721"/>
    <n v="516"/>
    <n v="3715200"/>
    <x v="1"/>
  </r>
  <r>
    <s v="FzyEzy Healthy Premium Freeze-Dried Banana Fruit Slices"/>
    <n v="11555"/>
    <n v="5940"/>
    <n v="21"/>
    <n v="561446"/>
    <n v="0.62395229278679565"/>
    <n v="516"/>
    <n v="5962380"/>
    <x v="1"/>
  </r>
  <r>
    <s v="FzyEzy Healthy Premium Freeze-Dried Kiwi Fruit Slices"/>
    <n v="2028"/>
    <n v="340"/>
    <n v="13"/>
    <n v="563474"/>
    <n v="0.62620607186754718"/>
    <n v="706"/>
    <n v="1431768"/>
    <x v="0"/>
  </r>
  <r>
    <s v="FzyEzy Freeze-Dried Pink Guava Powder - 100% Natural, Non-GMO, Vegan, Gluten-Free Fruit Powder"/>
    <n v="13390"/>
    <n v="3628"/>
    <n v="20"/>
    <n v="576864"/>
    <n v="0.64108679272122704"/>
    <n v="516"/>
    <n v="6909240"/>
    <x v="1"/>
  </r>
  <r>
    <s v="FzyEzy Healthy Natural Premium Freeze Dried White Guava Fruit Powder"/>
    <n v="2814"/>
    <n v="550"/>
    <n v="10"/>
    <n v="579678"/>
    <n v="0.64421407789540597"/>
    <n v="1057"/>
    <n v="2974398"/>
    <x v="0"/>
  </r>
  <r>
    <s v="FzyEzy Healthy Premium Freeze-dried Beet Vegetable Powder"/>
    <n v="4089"/>
    <n v="1150"/>
    <n v="19"/>
    <n v="583767"/>
    <n v="0.64875830997686212"/>
    <n v="516"/>
    <n v="2109924"/>
    <x v="1"/>
  </r>
  <r>
    <s v="FzyEzy Freeze-Dried Jain Gujarati Dal Bhat"/>
    <n v="4200"/>
    <n v="1680"/>
    <n v="19"/>
    <n v="587967"/>
    <n v="0.6534258997890694"/>
    <n v="516"/>
    <n v="2167200"/>
    <x v="1"/>
  </r>
  <r>
    <s v="FZYEZY Natural Freeze Dried Chikoo Fruit for Kids and Adults"/>
    <n v="4670"/>
    <n v="1660"/>
    <n v="19"/>
    <n v="592637"/>
    <n v="0.65861581512788081"/>
    <n v="516"/>
    <n v="2409720"/>
    <x v="1"/>
  </r>
  <r>
    <s v="FzyEzy Freeze-Dried Fruit Snacks - 100% Natural, Crunchy &amp; Healthy Real Fruit Bites"/>
    <n v="1716"/>
    <n v="440"/>
    <n v="20"/>
    <n v="594353"/>
    <n v="0.66052285896543983"/>
    <n v="4178"/>
    <n v="7169448"/>
    <x v="0"/>
  </r>
  <r>
    <s v="FzyEzy Freeze-Dried Jain Pav Bhaji"/>
    <n v="5280"/>
    <n v="1815"/>
    <n v="19"/>
    <n v="599633"/>
    <n v="0.66639068615792896"/>
    <n v="516"/>
    <n v="2724480"/>
    <x v="1"/>
  </r>
  <r>
    <s v="FzyEzy Healthy Premium Freeze Dried Strawberry Fruit Powder"/>
    <n v="19801"/>
    <n v="4540"/>
    <n v="19"/>
    <n v="619434"/>
    <n v="0.68839614946067107"/>
    <n v="516"/>
    <n v="10217316"/>
    <x v="1"/>
  </r>
  <r>
    <s v="FzyEzy Freeze-Dried Avocado Powder - 100% Natural, Non-GMO, Vegan, Gluten-Free Superfood"/>
    <n v="35000"/>
    <n v="4540"/>
    <n v="19"/>
    <n v="654434"/>
    <n v="0.72729273122906535"/>
    <n v="516"/>
    <n v="18060000"/>
    <x v="1"/>
  </r>
  <r>
    <s v="FzyEzy Premium Moringa Vegetable Powder"/>
    <n v="3888"/>
    <n v="3859"/>
    <n v="17"/>
    <n v="658322"/>
    <n v="0.73161358579808011"/>
    <n v="516"/>
    <n v="2006208"/>
    <x v="1"/>
  </r>
  <r>
    <s v="FzyEzy Freeze-Dried Apple Powder - 100% Natural, Non-GMO, Vegan, Gluten-Free Fruit Powder"/>
    <n v="4171"/>
    <n v="900"/>
    <n v="17"/>
    <n v="662493"/>
    <n v="0.73624894701396504"/>
    <n v="319"/>
    <n v="1330549"/>
    <x v="1"/>
  </r>
  <r>
    <s v="FzyEzy Freeze-Dried Pomegranate Powder - 100% Natural, Non-GMO, Vegan, Gluten-Free Superfruit"/>
    <n v="19983"/>
    <n v="4540"/>
    <n v="17"/>
    <n v="682476"/>
    <n v="0.75845667254190274"/>
    <n v="516"/>
    <n v="10311228"/>
    <x v="1"/>
  </r>
  <r>
    <s v="FzyEzy Freeze Dried Ginger Vegetable Powder for Kids and Adults"/>
    <n v="2550"/>
    <n v="850"/>
    <n v="16"/>
    <n v="685026"/>
    <n v="0.7612905663564572"/>
    <n v="319"/>
    <n v="813450"/>
    <x v="1"/>
  </r>
  <r>
    <s v="FzyEzy Healthy Natural Premium Freeze Dried Chikoo(sapota) Fruit Powder for Kids and Adults"/>
    <n v="4449"/>
    <n v="1000"/>
    <n v="16"/>
    <n v="689475"/>
    <n v="0.7662348775646739"/>
    <n v="516"/>
    <n v="2295684"/>
    <x v="1"/>
  </r>
  <r>
    <s v="FzyEzy Healthy Premium Freeze-Dried Black Jamun Fruit Chunks"/>
    <n v="8396"/>
    <n v="2000"/>
    <n v="16"/>
    <n v="697871"/>
    <n v="0.7755656118654578"/>
    <n v="516"/>
    <n v="4332336"/>
    <x v="1"/>
  </r>
  <r>
    <s v="FZYEZY Natural Freeze Dried Strawberry Powder for Kids and Adults"/>
    <n v="9781"/>
    <n v="2350"/>
    <n v="16"/>
    <n v="707652"/>
    <n v="0.78643553947336253"/>
    <n v="516"/>
    <n v="5046996"/>
    <x v="1"/>
  </r>
  <r>
    <s v="FzyEzy Healthy Premium Freeze-Dried Jackfruit Fruit Slices"/>
    <n v="3109"/>
    <n v="520"/>
    <n v="20"/>
    <n v="710761"/>
    <n v="0.78989066726530355"/>
    <n v="1057"/>
    <n v="3286213"/>
    <x v="0"/>
  </r>
  <r>
    <s v="FzyEzy Healthy Premium Freeze-dried Banana Fruit Powder"/>
    <n v="2463"/>
    <n v="750"/>
    <n v="15"/>
    <n v="713224"/>
    <n v="0.79262787529089085"/>
    <n v="650"/>
    <n v="1600950"/>
    <x v="1"/>
  </r>
  <r>
    <s v="FzyEzy Natural Freeze Dried Pink Guava Powder for Kids and Adults"/>
    <n v="3489"/>
    <n v="800"/>
    <n v="15"/>
    <n v="716713"/>
    <n v="0.79650530882774595"/>
    <n v="650"/>
    <n v="2267850"/>
    <x v="1"/>
  </r>
  <r>
    <s v="FzyEzy Freeze Dried Strawberry Fruit Powder for Kids and Adults"/>
    <n v="5500"/>
    <n v="1250"/>
    <n v="15"/>
    <n v="722213"/>
    <n v="0.80261762881992216"/>
    <n v="516"/>
    <n v="2838000"/>
    <x v="1"/>
  </r>
  <r>
    <s v="FzyEzy Freeze-Dried Jain Dal Fry -"/>
    <n v="5920"/>
    <n v="2220"/>
    <n v="12"/>
    <n v="728133"/>
    <n v="0.80919670779331909"/>
    <n v="516"/>
    <n v="3054720"/>
    <x v="1"/>
  </r>
  <r>
    <s v="FzyEzy Freeze-Dried Spinach Powder"/>
    <n v="2306"/>
    <n v="650"/>
    <n v="11"/>
    <n v="730439"/>
    <n v="0.81175943686640251"/>
    <n v="1057"/>
    <n v="2437442"/>
    <x v="1"/>
  </r>
  <r>
    <s v="FzyEzy Healthy Natural Premium Freeze Dried Strawberry Fruit Powder for Kids and Adults"/>
    <n v="2640"/>
    <n v="600"/>
    <n v="11"/>
    <n v="733079"/>
    <n v="0.81469335046264701"/>
    <n v="1057"/>
    <n v="2790480"/>
    <x v="1"/>
  </r>
  <r>
    <s v="FzyEzy Freeze-Dried Pav Bhaji Masala"/>
    <n v="4335"/>
    <n v="1820"/>
    <n v="11"/>
    <n v="737414"/>
    <n v="0.81951096994738959"/>
    <n v="516"/>
    <n v="2236860"/>
    <x v="1"/>
  </r>
  <r>
    <s v="FzyEzy Freeze-Dried Jain Kadhi Khichdi"/>
    <n v="2100"/>
    <n v="672"/>
    <n v="10"/>
    <n v="739514"/>
    <n v="0.82184476485349323"/>
    <n v="1057"/>
    <n v="2219700"/>
    <x v="1"/>
  </r>
  <r>
    <s v="FzyEzy Freeze-Dried Jeera Rice"/>
    <n v="4321"/>
    <n v="2175"/>
    <n v="10"/>
    <n v="743835"/>
    <n v="0.82664682570552839"/>
    <n v="516"/>
    <n v="2229636"/>
    <x v="1"/>
  </r>
  <r>
    <s v="FzyEzy Freeze-Dried Blueberry Powder - 100% Natural, Non-GMO, Vegan, Gluten-Free Superfruit"/>
    <n v="24600"/>
    <n v="2270"/>
    <n v="10"/>
    <n v="768435"/>
    <n v="0.8539855660341712"/>
    <n v="516"/>
    <n v="12693600"/>
    <x v="1"/>
  </r>
  <r>
    <s v="FzyEzy Healthy Premium Freeze Dried Banana Fruit Powder"/>
    <n v="6244"/>
    <n v="2270"/>
    <n v="9"/>
    <n v="774679"/>
    <n v="0.86092471622165267"/>
    <n v="516"/>
    <n v="3221904"/>
    <x v="1"/>
  </r>
  <r>
    <s v="FzyEzy Freeze-Dried Jain Paneer Bhurji"/>
    <n v="2200"/>
    <n v="770"/>
    <n v="8"/>
    <n v="776879"/>
    <n v="0.86336964421852325"/>
    <n v="650"/>
    <n v="1430000"/>
    <x v="1"/>
  </r>
  <r>
    <s v="FzyEzy Freeze-Dried Jain Pav Bhaji -"/>
    <n v="3490"/>
    <n v="1210"/>
    <n v="8"/>
    <n v="780369"/>
    <n v="0.86724818908628598"/>
    <n v="516"/>
    <n v="1800840"/>
    <x v="1"/>
  </r>
  <r>
    <s v="FZYEZY Freeze Dried Mango Fruit Powder for Kids and Adults"/>
    <n v="4284"/>
    <n v="1750"/>
    <n v="8"/>
    <n v="784653"/>
    <n v="0.8720091306947374"/>
    <n v="516"/>
    <n v="2210544"/>
    <x v="1"/>
  </r>
  <r>
    <s v="FzyEzy Healthy Natural Premium Freeze Dried Mango Fruit for Kids and Adults"/>
    <n v="5592"/>
    <n v="3600"/>
    <n v="8"/>
    <n v="790245"/>
    <n v="0.87822369313041915"/>
    <n v="516"/>
    <n v="2885472"/>
    <x v="1"/>
  </r>
  <r>
    <s v="FzyEzy Gourmet Freeze-Dried Paneer Bhurji - Authentic Indian Culinary Delight"/>
    <n v="6362"/>
    <n v="2240"/>
    <n v="8"/>
    <n v="796607"/>
    <n v="0.88529398036500551"/>
    <n v="516"/>
    <n v="3282792"/>
    <x v="1"/>
  </r>
  <r>
    <s v="FzyEzy Premium Natural Wheatgrass Powder"/>
    <n v="1673"/>
    <n v="1589"/>
    <n v="7"/>
    <n v="798280"/>
    <n v="0.88715323697353476"/>
    <n v="516"/>
    <n v="863268"/>
    <x v="1"/>
  </r>
  <r>
    <s v="FzyEzy Freeze-Dried Gajar Ka Halwa"/>
    <n v="1750"/>
    <n v="840"/>
    <n v="7"/>
    <n v="800030"/>
    <n v="0.88909806606195452"/>
    <n v="650"/>
    <n v="1137500"/>
    <x v="1"/>
  </r>
  <r>
    <s v="Oxynxt Freeze-dried Prickly Pear Powder Sachets - 10 Count"/>
    <n v="2132"/>
    <n v="770"/>
    <n v="7"/>
    <n v="802162"/>
    <n v="0.89146742355710351"/>
    <n v="650"/>
    <n v="1385800"/>
    <x v="1"/>
  </r>
  <r>
    <s v="FzyEzy Freeze-Dried Masala Kadhi Khichdi"/>
    <n v="2250"/>
    <n v="720"/>
    <n v="7"/>
    <n v="804412"/>
    <n v="0.89396791809935738"/>
    <n v="650"/>
    <n v="1462500"/>
    <x v="1"/>
  </r>
  <r>
    <s v="FZYEZY Natural Freeze Dried Black Jamun Chunks for Kids and Adults"/>
    <n v="4299"/>
    <n v="1300"/>
    <n v="7"/>
    <n v="808711"/>
    <n v="0.89874552967142385"/>
    <n v="516"/>
    <n v="2218284"/>
    <x v="1"/>
  </r>
  <r>
    <s v="Heamwalt - Whey Protein, Vitamins, Minerals &amp; DHA Powder"/>
    <n v="1683"/>
    <n v="3000"/>
    <n v="6"/>
    <n v="810394"/>
    <n v="0.90061589958902988"/>
    <n v="516"/>
    <n v="868428"/>
    <x v="1"/>
  </r>
  <r>
    <s v="FzyEzy Freeze-Dried Jain Paneer Butter Masala"/>
    <n v="2100"/>
    <n v="750"/>
    <n v="6"/>
    <n v="812494"/>
    <n v="0.90294969449513351"/>
    <n v="650"/>
    <n v="1365000"/>
    <x v="1"/>
  </r>
  <r>
    <s v="FzyEzy Natural Freeze Dried Pomegranate Powder for Kids and Adults"/>
    <n v="2349"/>
    <n v="700"/>
    <n v="6"/>
    <n v="814843"/>
    <n v="0.90556021079724658"/>
    <n v="650"/>
    <n v="1526850"/>
    <x v="1"/>
  </r>
  <r>
    <s v="FzyEzy Freeze-Dried Veg Makhanwala"/>
    <n v="3960"/>
    <n v="1320"/>
    <n v="6"/>
    <n v="818803"/>
    <n v="0.90996108119161345"/>
    <n v="516"/>
    <n v="2043360"/>
    <x v="1"/>
  </r>
  <r>
    <s v="FzyEzy Freeze-dried Strawberry Fruit Powder"/>
    <n v="4194"/>
    <n v="900"/>
    <n v="6"/>
    <n v="822997"/>
    <n v="0.91462200301837471"/>
    <n v="319"/>
    <n v="1337886"/>
    <x v="1"/>
  </r>
  <r>
    <s v="Hamps Bio OXYNXT Gold Sachet"/>
    <n v="19141"/>
    <n v="160"/>
    <n v="20"/>
    <n v="842138"/>
    <n v="0.93589398792205569"/>
    <n v="736"/>
    <n v="14087776"/>
    <x v="0"/>
  </r>
  <r>
    <s v="FzyEzy Freeze-Dried Celery Powder - 100% Natural, Non-GMO, Vegan, Gluten-Free Superfood"/>
    <n v="6150"/>
    <n v="1362"/>
    <n v="6"/>
    <n v="848288"/>
    <n v="0.94272867300421637"/>
    <n v="516"/>
    <n v="3173400"/>
    <x v="1"/>
  </r>
  <r>
    <s v="FzyEzy Healthy Natural Premium Freeze Dried Pomegranate for Kids and Adults"/>
    <n v="7200"/>
    <n v="7500"/>
    <n v="6"/>
    <n v="855488"/>
    <n v="0.95073025553942891"/>
    <n v="516"/>
    <n v="3715200"/>
    <x v="1"/>
  </r>
  <r>
    <s v="FzyEzy Freeze-Dried Moong Dal Sheera"/>
    <n v="900"/>
    <n v="900"/>
    <n v="5"/>
    <n v="856388"/>
    <n v="0.95173045335633044"/>
    <n v="319"/>
    <n v="287100"/>
    <x v="1"/>
  </r>
  <r>
    <s v="FzyEzy Freeze-Dried Veg. Makhanwala"/>
    <n v="1800"/>
    <n v="600"/>
    <n v="5"/>
    <n v="858188"/>
    <n v="0.95373084899013361"/>
    <n v="1057"/>
    <n v="1902600"/>
    <x v="1"/>
  </r>
  <r>
    <s v="FZYEZY Natural Freeze Dried Pineapple Slices for Kids and Adults"/>
    <n v="2740"/>
    <n v="680"/>
    <n v="5"/>
    <n v="860928"/>
    <n v="0.95677589567714505"/>
    <n v="1057"/>
    <n v="2896180"/>
    <x v="1"/>
  </r>
  <r>
    <s v="FZYEZY Natural Freeze Dried Chikoo Fruit Powder for Kids and Adults"/>
    <n v="4500"/>
    <n v="1500"/>
    <n v="5"/>
    <n v="865428"/>
    <n v="0.96177688476165291"/>
    <n v="516"/>
    <n v="2322000"/>
    <x v="1"/>
  </r>
  <r>
    <s v="FzyEzy Freeze-Dried Paneer Gotala"/>
    <n v="2200"/>
    <n v="700"/>
    <n v="4"/>
    <n v="867628"/>
    <n v="0.96422181275852337"/>
    <n v="650"/>
    <n v="1430000"/>
    <x v="1"/>
  </r>
  <r>
    <s v="FzyEzy Freeze-Dried Spinach Powder - 100% Natural, Non-GMO, Vegan, Gluten-Free Superfood"/>
    <n v="2800"/>
    <n v="908"/>
    <n v="4"/>
    <n v="870428"/>
    <n v="0.96733353929999488"/>
    <n v="319"/>
    <n v="893200"/>
    <x v="1"/>
  </r>
  <r>
    <s v="FZYEZY Natural Freeze Dried Black Jamun for Kids and Adults"/>
    <n v="3060"/>
    <n v="1200"/>
    <n v="4"/>
    <n v="873488"/>
    <n v="0.97073421187746023"/>
    <n v="516"/>
    <n v="1578960"/>
    <x v="1"/>
  </r>
  <r>
    <s v="FZYEZY Freeze Dried Pink Guava Powder for Kids and Adults"/>
    <n v="3188"/>
    <n v="950"/>
    <n v="4"/>
    <n v="876676"/>
    <n v="0.97427713481110712"/>
    <n v="319"/>
    <n v="1016972"/>
    <x v="1"/>
  </r>
  <r>
    <s v="FzyEzy Healthy Natural Premium Freeze Dried Pineapple Fruit Powder"/>
    <n v="3902"/>
    <n v="908"/>
    <n v="4"/>
    <n v="880578"/>
    <n v="0.97861354801282918"/>
    <n v="319"/>
    <n v="1244738"/>
    <x v="1"/>
  </r>
  <r>
    <s v="FZYEZY Natural Freeze Dried Mango Powder for Kids and Adults"/>
    <n v="4850"/>
    <n v="800"/>
    <n v="4"/>
    <n v="885428"/>
    <n v="0.98400350291502092"/>
    <n v="650"/>
    <n v="3152500"/>
    <x v="1"/>
  </r>
  <r>
    <s v="FZYEZY Freeze Dried Black Jamun Fruit for Kids and Adults"/>
    <n v="6120"/>
    <n v="1740"/>
    <n v="4"/>
    <n v="891548"/>
    <n v="0.99080484806995162"/>
    <n v="516"/>
    <n v="3157920"/>
    <x v="1"/>
  </r>
  <r>
    <s v="Oxynxt Freeze-dried Beet Powder Sachets-10 Count"/>
    <n v="1032"/>
    <n v="560"/>
    <n v="3"/>
    <n v="892580"/>
    <n v="0.99195174156666543"/>
    <n v="1057"/>
    <n v="1090824"/>
    <x v="1"/>
  </r>
  <r>
    <s v="FzyEzy Freeze Dried Gajar Ka Halwa"/>
    <n v="1250"/>
    <n v="600"/>
    <n v="3"/>
    <n v="893830"/>
    <n v="0.99334090520125096"/>
    <n v="1057"/>
    <n v="1321250"/>
    <x v="1"/>
  </r>
  <r>
    <s v="FzyEzy Freeze-Dried Chikoo (Sapota) Powder - 100% Natural, Non-GMO, Vegan, Gluten-Free Fruit Powder"/>
    <n v="2033"/>
    <n v="681"/>
    <n v="3"/>
    <n v="895863"/>
    <n v="0.99560024093654076"/>
    <n v="1057"/>
    <n v="2148881"/>
    <x v="1"/>
  </r>
  <r>
    <s v="FZYEZY Freeze Dried Custard Apple Fruit Powder for Kids and Adults"/>
    <n v="2320"/>
    <n v="600"/>
    <n v="3"/>
    <n v="898183"/>
    <n v="0.99817852864233148"/>
    <n v="1057"/>
    <n v="2452240"/>
    <x v="1"/>
  </r>
  <r>
    <s v="FZYEZY Freeze Dried Mango Powder &amp; Banana for Kids and Adults"/>
    <n v="1140"/>
    <n v="600"/>
    <n v="2"/>
    <n v="899323"/>
    <n v="0.99944544587707351"/>
    <n v="1057"/>
    <n v="1204980"/>
    <x v="1"/>
  </r>
  <r>
    <s v="Hamps Heamwalt Healthy Powder Mix whey Protein"/>
    <n v="499"/>
    <n v="1800"/>
    <n v="1"/>
    <n v="899822"/>
    <n v="1"/>
    <n v="516"/>
    <n v="25748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F472C-6DA3-43D1-9E8D-E6A71F9D290C}" name="PivotTable2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2:C29" firstHeaderRow="1" firstDataRow="1" firstDataCol="0"/>
  <pivotFields count="9"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7A7B6-D76B-4C91-A25D-D1BBCD56FCAE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showAll="0"/>
    <pivotField showAll="0"/>
    <pivotField showAll="0"/>
    <pivotField showAll="0"/>
    <pivotField showAll="0"/>
    <pivotField numFmtId="9"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cluster" fld="8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EA107-E2DB-4349-AFF9-0264711C3976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F11" firstHeaderRow="0" firstDataRow="1" firstDataCol="1"/>
  <pivotFields count="9">
    <pivotField showAll="0"/>
    <pivotField dataField="1" showAll="0"/>
    <pivotField showAll="0"/>
    <pivotField showAll="0"/>
    <pivotField showAll="0"/>
    <pivotField numFmtId="9" showAll="0"/>
    <pivotField dataField="1" showAll="0"/>
    <pivotField dataField="1" showAll="0"/>
    <pivotField axis="axisRow" dataField="1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cluster" fld="8" subtotal="count" baseField="8" baseItem="0"/>
    <dataField name="Sum of Projected_ratings" fld="6" baseField="0" baseItem="0"/>
    <dataField name="Average of Price" fld="1" subtotal="average" baseField="8" baseItem="1"/>
    <dataField name="Sum of Price" fld="1" baseField="0" baseItem="0"/>
    <dataField name="Sum of Projected_revenue" fld="7" baseField="0" baseItem="0"/>
  </dataFields>
  <formats count="1">
    <format dxfId="0">
      <pivotArea collapsedLevelsAreSubtotals="1" fieldPosition="0">
        <references count="2">
          <reference field="4294967294" count="1" selected="0">
            <x v="4"/>
          </reference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C4E1-A23B-4DC4-AB00-26023FA808D5}">
  <dimension ref="A3:F29"/>
  <sheetViews>
    <sheetView tabSelected="1" workbookViewId="0">
      <selection activeCell="F1" sqref="F1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22.5546875" bestFit="1" customWidth="1"/>
    <col min="4" max="4" width="14.77734375" bestFit="1" customWidth="1"/>
    <col min="5" max="5" width="11.5546875" bestFit="1" customWidth="1"/>
    <col min="6" max="6" width="23.77734375" bestFit="1" customWidth="1"/>
    <col min="7" max="7" width="27.44140625" bestFit="1" customWidth="1"/>
  </cols>
  <sheetData>
    <row r="3" spans="1:6" x14ac:dyDescent="0.3">
      <c r="A3" s="4" t="s">
        <v>160</v>
      </c>
      <c r="B3" t="s">
        <v>162</v>
      </c>
    </row>
    <row r="4" spans="1:6" x14ac:dyDescent="0.3">
      <c r="A4" s="5">
        <v>0</v>
      </c>
      <c r="B4" s="17">
        <v>88</v>
      </c>
    </row>
    <row r="5" spans="1:6" x14ac:dyDescent="0.3">
      <c r="A5" s="5">
        <v>2</v>
      </c>
      <c r="B5" s="17">
        <v>64</v>
      </c>
    </row>
    <row r="6" spans="1:6" x14ac:dyDescent="0.3">
      <c r="A6" s="5" t="s">
        <v>161</v>
      </c>
      <c r="B6" s="17">
        <v>152</v>
      </c>
    </row>
    <row r="8" spans="1:6" x14ac:dyDescent="0.3">
      <c r="A8" s="4" t="s">
        <v>160</v>
      </c>
      <c r="B8" t="s">
        <v>162</v>
      </c>
      <c r="C8" t="s">
        <v>163</v>
      </c>
      <c r="D8" t="s">
        <v>164</v>
      </c>
      <c r="E8" t="s">
        <v>167</v>
      </c>
      <c r="F8" t="s">
        <v>166</v>
      </c>
    </row>
    <row r="9" spans="1:6" x14ac:dyDescent="0.3">
      <c r="A9" s="5">
        <v>0</v>
      </c>
      <c r="B9" s="17">
        <v>88</v>
      </c>
      <c r="C9" s="17">
        <v>50716</v>
      </c>
      <c r="D9" s="17">
        <v>9302.556818181818</v>
      </c>
      <c r="E9" s="17">
        <v>818625</v>
      </c>
      <c r="F9" s="6">
        <v>431721546</v>
      </c>
    </row>
    <row r="10" spans="1:6" x14ac:dyDescent="0.3">
      <c r="A10" s="5">
        <v>2</v>
      </c>
      <c r="B10" s="17">
        <v>64</v>
      </c>
      <c r="C10" s="17">
        <v>99089</v>
      </c>
      <c r="D10" s="17">
        <v>1268.703125</v>
      </c>
      <c r="E10" s="17">
        <v>81197</v>
      </c>
      <c r="F10" s="6">
        <v>117431354</v>
      </c>
    </row>
    <row r="11" spans="1:6" x14ac:dyDescent="0.3">
      <c r="A11" s="5" t="s">
        <v>161</v>
      </c>
      <c r="B11" s="17">
        <v>152</v>
      </c>
      <c r="C11" s="17">
        <v>149805</v>
      </c>
      <c r="D11" s="17">
        <v>5919.8815789473683</v>
      </c>
      <c r="E11" s="17">
        <v>899822</v>
      </c>
      <c r="F11" s="17">
        <v>549152900</v>
      </c>
    </row>
    <row r="12" spans="1:6" x14ac:dyDescent="0.3">
      <c r="A12" s="7"/>
      <c r="B12" s="8"/>
      <c r="C12" s="9"/>
    </row>
    <row r="13" spans="1:6" x14ac:dyDescent="0.3">
      <c r="A13" s="10"/>
      <c r="B13" s="11"/>
      <c r="C13" s="12"/>
    </row>
    <row r="14" spans="1:6" x14ac:dyDescent="0.3">
      <c r="A14" s="10"/>
      <c r="B14" s="11"/>
      <c r="C14" s="12"/>
    </row>
    <row r="15" spans="1:6" x14ac:dyDescent="0.3">
      <c r="A15" s="10"/>
      <c r="B15" s="11"/>
      <c r="C15" s="12"/>
    </row>
    <row r="16" spans="1:6" x14ac:dyDescent="0.3">
      <c r="A16" s="10"/>
      <c r="B16" s="11"/>
      <c r="C16" s="12"/>
    </row>
    <row r="17" spans="1:3" x14ac:dyDescent="0.3">
      <c r="A17" s="10"/>
      <c r="B17" s="11"/>
      <c r="C17" s="12"/>
    </row>
    <row r="18" spans="1:3" x14ac:dyDescent="0.3">
      <c r="A18" s="10"/>
      <c r="B18" s="11"/>
      <c r="C18" s="12"/>
    </row>
    <row r="19" spans="1:3" x14ac:dyDescent="0.3">
      <c r="A19" s="10"/>
      <c r="B19" s="11"/>
      <c r="C19" s="12"/>
    </row>
    <row r="20" spans="1:3" x14ac:dyDescent="0.3">
      <c r="A20" s="10"/>
      <c r="B20" s="11"/>
      <c r="C20" s="12"/>
    </row>
    <row r="21" spans="1:3" x14ac:dyDescent="0.3">
      <c r="A21" s="10"/>
      <c r="B21" s="11"/>
      <c r="C21" s="12"/>
    </row>
    <row r="22" spans="1:3" x14ac:dyDescent="0.3">
      <c r="A22" s="10"/>
      <c r="B22" s="11"/>
      <c r="C22" s="12"/>
    </row>
    <row r="23" spans="1:3" x14ac:dyDescent="0.3">
      <c r="A23" s="10"/>
      <c r="B23" s="11"/>
      <c r="C23" s="12"/>
    </row>
    <row r="24" spans="1:3" x14ac:dyDescent="0.3">
      <c r="A24" s="10"/>
      <c r="B24" s="11"/>
      <c r="C24" s="12"/>
    </row>
    <row r="25" spans="1:3" x14ac:dyDescent="0.3">
      <c r="A25" s="10"/>
      <c r="B25" s="11"/>
      <c r="C25" s="12"/>
    </row>
    <row r="26" spans="1:3" x14ac:dyDescent="0.3">
      <c r="A26" s="10"/>
      <c r="B26" s="11"/>
      <c r="C26" s="12"/>
    </row>
    <row r="27" spans="1:3" x14ac:dyDescent="0.3">
      <c r="A27" s="10"/>
      <c r="B27" s="11"/>
      <c r="C27" s="12"/>
    </row>
    <row r="28" spans="1:3" x14ac:dyDescent="0.3">
      <c r="A28" s="10"/>
      <c r="B28" s="11"/>
      <c r="C28" s="12"/>
    </row>
    <row r="29" spans="1:3" x14ac:dyDescent="0.3">
      <c r="A29" s="13"/>
      <c r="B29" s="14"/>
      <c r="C29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workbookViewId="0">
      <selection activeCell="B1" sqref="B1:B1048576"/>
    </sheetView>
  </sheetViews>
  <sheetFormatPr defaultRowHeight="14.4" x14ac:dyDescent="0.3"/>
  <cols>
    <col min="1" max="1" width="103.88671875" bestFit="1" customWidth="1"/>
    <col min="2" max="2" width="9.5546875" bestFit="1" customWidth="1"/>
    <col min="3" max="3" width="17.6640625" bestFit="1" customWidth="1"/>
    <col min="4" max="4" width="11.21875" bestFit="1" customWidth="1"/>
    <col min="5" max="5" width="12.88671875" bestFit="1" customWidth="1"/>
    <col min="6" max="6" width="14.5546875" style="3" bestFit="1" customWidth="1"/>
    <col min="7" max="7" width="15.88671875" bestFit="1" customWidth="1"/>
    <col min="8" max="8" width="15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6" t="s">
        <v>165</v>
      </c>
      <c r="I1" s="16" t="s">
        <v>159</v>
      </c>
    </row>
    <row r="2" spans="1:9" x14ac:dyDescent="0.3">
      <c r="A2" t="s">
        <v>7</v>
      </c>
      <c r="B2">
        <v>115</v>
      </c>
      <c r="C2">
        <v>20</v>
      </c>
      <c r="D2">
        <v>1</v>
      </c>
      <c r="E2">
        <f>B2</f>
        <v>115</v>
      </c>
      <c r="F2" s="3">
        <f>E2/SUM($B$2:$B$153)</f>
        <v>1.2780305438186664E-4</v>
      </c>
      <c r="G2">
        <v>1497</v>
      </c>
      <c r="H2">
        <f t="shared" ref="H2:H33" si="0">G2*B2</f>
        <v>172155</v>
      </c>
      <c r="I2">
        <f t="shared" ref="I2:I33" si="1">IF(D2&lt;=488.5,
    IF(C2&lt;=550,
        IF(C2&lt;=402.5,
            2,
            IF(D2&lt;=350.5,2,0)
        ),
        0
    ),
    IF(D2&lt;=1798,
        IF(C2&lt;=205.5,
            2,
            0
        ),
        IF(C2&lt;=1502.5,
            1,
            3
        )
    )
)</f>
        <v>2</v>
      </c>
    </row>
    <row r="3" spans="1:9" x14ac:dyDescent="0.3">
      <c r="A3" t="s">
        <v>8</v>
      </c>
      <c r="B3">
        <v>150</v>
      </c>
      <c r="C3">
        <v>48</v>
      </c>
      <c r="D3">
        <v>1</v>
      </c>
      <c r="E3">
        <f>E2+B3</f>
        <v>265</v>
      </c>
      <c r="F3" s="3">
        <f t="shared" ref="F3:F66" si="2">E3/SUM($B$2:$B$153)</f>
        <v>2.9450269053212744E-4</v>
      </c>
      <c r="G3">
        <v>1435</v>
      </c>
      <c r="H3">
        <f t="shared" si="0"/>
        <v>215250</v>
      </c>
      <c r="I3">
        <f t="shared" si="1"/>
        <v>2</v>
      </c>
    </row>
    <row r="4" spans="1:9" x14ac:dyDescent="0.3">
      <c r="A4" t="s">
        <v>9</v>
      </c>
      <c r="B4">
        <v>185</v>
      </c>
      <c r="C4">
        <v>200</v>
      </c>
      <c r="D4">
        <v>1</v>
      </c>
      <c r="E4">
        <f t="shared" ref="E4:E67" si="3">E3+B4</f>
        <v>450</v>
      </c>
      <c r="F4" s="3">
        <f t="shared" si="2"/>
        <v>5.0009890845078252E-4</v>
      </c>
      <c r="G4">
        <v>1552</v>
      </c>
      <c r="H4">
        <f t="shared" si="0"/>
        <v>287120</v>
      </c>
      <c r="I4">
        <f t="shared" si="1"/>
        <v>2</v>
      </c>
    </row>
    <row r="5" spans="1:9" x14ac:dyDescent="0.3">
      <c r="A5" t="s">
        <v>10</v>
      </c>
      <c r="B5">
        <v>195</v>
      </c>
      <c r="C5">
        <v>50</v>
      </c>
      <c r="D5">
        <v>1</v>
      </c>
      <c r="E5">
        <f t="shared" si="3"/>
        <v>645</v>
      </c>
      <c r="F5" s="3">
        <f t="shared" si="2"/>
        <v>7.1680843544612153E-4</v>
      </c>
      <c r="G5">
        <v>2377</v>
      </c>
      <c r="H5">
        <f t="shared" si="0"/>
        <v>463515</v>
      </c>
      <c r="I5">
        <f t="shared" si="1"/>
        <v>2</v>
      </c>
    </row>
    <row r="6" spans="1:9" x14ac:dyDescent="0.3">
      <c r="A6" t="s">
        <v>11</v>
      </c>
      <c r="B6">
        <v>200</v>
      </c>
      <c r="C6">
        <v>40</v>
      </c>
      <c r="D6">
        <v>1</v>
      </c>
      <c r="E6">
        <f t="shared" si="3"/>
        <v>845</v>
      </c>
      <c r="F6" s="3">
        <f t="shared" si="2"/>
        <v>9.3907461697980267E-4</v>
      </c>
      <c r="G6">
        <v>2842</v>
      </c>
      <c r="H6">
        <f t="shared" si="0"/>
        <v>568400</v>
      </c>
      <c r="I6">
        <f t="shared" si="1"/>
        <v>2</v>
      </c>
    </row>
    <row r="7" spans="1:9" x14ac:dyDescent="0.3">
      <c r="A7" t="s">
        <v>12</v>
      </c>
      <c r="B7">
        <v>217</v>
      </c>
      <c r="C7">
        <v>28</v>
      </c>
      <c r="D7">
        <v>1</v>
      </c>
      <c r="E7">
        <f t="shared" si="3"/>
        <v>1062</v>
      </c>
      <c r="F7" s="3">
        <f t="shared" si="2"/>
        <v>1.1802334239438468E-3</v>
      </c>
      <c r="G7">
        <v>2677</v>
      </c>
      <c r="H7">
        <f t="shared" si="0"/>
        <v>580909</v>
      </c>
      <c r="I7">
        <f t="shared" si="1"/>
        <v>2</v>
      </c>
    </row>
    <row r="8" spans="1:9" x14ac:dyDescent="0.3">
      <c r="A8" t="s">
        <v>13</v>
      </c>
      <c r="B8">
        <v>220</v>
      </c>
      <c r="C8">
        <v>50</v>
      </c>
      <c r="D8">
        <v>1</v>
      </c>
      <c r="E8">
        <f t="shared" si="3"/>
        <v>1282</v>
      </c>
      <c r="F8" s="3">
        <f t="shared" si="2"/>
        <v>1.424726223630896E-3</v>
      </c>
      <c r="G8">
        <v>2842</v>
      </c>
      <c r="H8">
        <f t="shared" si="0"/>
        <v>625240</v>
      </c>
      <c r="I8">
        <f t="shared" si="1"/>
        <v>2</v>
      </c>
    </row>
    <row r="9" spans="1:9" x14ac:dyDescent="0.3">
      <c r="A9" t="s">
        <v>14</v>
      </c>
      <c r="B9">
        <v>320</v>
      </c>
      <c r="C9">
        <v>130</v>
      </c>
      <c r="D9">
        <v>1</v>
      </c>
      <c r="E9">
        <f t="shared" si="3"/>
        <v>1602</v>
      </c>
      <c r="F9" s="3">
        <f t="shared" si="2"/>
        <v>1.7803521140847857E-3</v>
      </c>
      <c r="G9">
        <v>690</v>
      </c>
      <c r="H9">
        <f t="shared" si="0"/>
        <v>220800</v>
      </c>
      <c r="I9">
        <f t="shared" si="1"/>
        <v>2</v>
      </c>
    </row>
    <row r="10" spans="1:9" x14ac:dyDescent="0.3">
      <c r="A10" t="s">
        <v>15</v>
      </c>
      <c r="B10">
        <v>360</v>
      </c>
      <c r="C10">
        <v>100</v>
      </c>
      <c r="D10">
        <v>1</v>
      </c>
      <c r="E10">
        <f t="shared" si="3"/>
        <v>1962</v>
      </c>
      <c r="F10" s="3">
        <f t="shared" si="2"/>
        <v>2.1804312408454118E-3</v>
      </c>
      <c r="G10">
        <v>750</v>
      </c>
      <c r="H10">
        <f t="shared" si="0"/>
        <v>270000</v>
      </c>
      <c r="I10">
        <f t="shared" si="1"/>
        <v>2</v>
      </c>
    </row>
    <row r="11" spans="1:9" x14ac:dyDescent="0.3">
      <c r="A11" t="s">
        <v>16</v>
      </c>
      <c r="B11">
        <v>380</v>
      </c>
      <c r="C11">
        <v>100</v>
      </c>
      <c r="D11">
        <v>1</v>
      </c>
      <c r="E11">
        <f t="shared" si="3"/>
        <v>2342</v>
      </c>
      <c r="F11" s="3">
        <f t="shared" si="2"/>
        <v>2.6027369857594056E-3</v>
      </c>
      <c r="G11">
        <v>750</v>
      </c>
      <c r="H11">
        <f t="shared" si="0"/>
        <v>285000</v>
      </c>
      <c r="I11">
        <f t="shared" si="1"/>
        <v>2</v>
      </c>
    </row>
    <row r="12" spans="1:9" x14ac:dyDescent="0.3">
      <c r="A12" t="s">
        <v>17</v>
      </c>
      <c r="B12">
        <v>440</v>
      </c>
      <c r="C12">
        <v>100</v>
      </c>
      <c r="D12">
        <v>1</v>
      </c>
      <c r="E12">
        <f t="shared" si="3"/>
        <v>2782</v>
      </c>
      <c r="F12" s="3">
        <f t="shared" si="2"/>
        <v>3.091722585133504E-3</v>
      </c>
      <c r="G12">
        <v>750</v>
      </c>
      <c r="H12">
        <f t="shared" si="0"/>
        <v>330000</v>
      </c>
      <c r="I12">
        <f t="shared" si="1"/>
        <v>2</v>
      </c>
    </row>
    <row r="13" spans="1:9" x14ac:dyDescent="0.3">
      <c r="A13" t="s">
        <v>18</v>
      </c>
      <c r="B13">
        <v>440</v>
      </c>
      <c r="C13">
        <v>100</v>
      </c>
      <c r="D13">
        <v>1</v>
      </c>
      <c r="E13">
        <f t="shared" si="3"/>
        <v>3222</v>
      </c>
      <c r="F13" s="3">
        <f t="shared" si="2"/>
        <v>3.5807081845076025E-3</v>
      </c>
      <c r="G13">
        <v>750</v>
      </c>
      <c r="H13">
        <f t="shared" si="0"/>
        <v>330000</v>
      </c>
      <c r="I13">
        <f t="shared" si="1"/>
        <v>2</v>
      </c>
    </row>
    <row r="14" spans="1:9" x14ac:dyDescent="0.3">
      <c r="A14" t="s">
        <v>19</v>
      </c>
      <c r="B14">
        <v>240</v>
      </c>
      <c r="C14">
        <v>100</v>
      </c>
      <c r="D14">
        <v>2</v>
      </c>
      <c r="E14">
        <f t="shared" si="3"/>
        <v>3462</v>
      </c>
      <c r="F14" s="3">
        <f t="shared" si="2"/>
        <v>3.84742760234802E-3</v>
      </c>
      <c r="G14">
        <v>3398</v>
      </c>
      <c r="H14">
        <f t="shared" si="0"/>
        <v>815520</v>
      </c>
      <c r="I14">
        <f t="shared" si="1"/>
        <v>2</v>
      </c>
    </row>
    <row r="15" spans="1:9" x14ac:dyDescent="0.3">
      <c r="A15" t="s">
        <v>20</v>
      </c>
      <c r="B15">
        <v>480</v>
      </c>
      <c r="C15">
        <v>56</v>
      </c>
      <c r="D15">
        <v>1</v>
      </c>
      <c r="E15">
        <f t="shared" si="3"/>
        <v>3942</v>
      </c>
      <c r="F15" s="3">
        <f t="shared" si="2"/>
        <v>4.3808664380288543E-3</v>
      </c>
      <c r="G15">
        <v>750</v>
      </c>
      <c r="H15">
        <f t="shared" si="0"/>
        <v>360000</v>
      </c>
      <c r="I15">
        <f t="shared" si="1"/>
        <v>2</v>
      </c>
    </row>
    <row r="16" spans="1:9" x14ac:dyDescent="0.3">
      <c r="A16" t="s">
        <v>21</v>
      </c>
      <c r="B16">
        <v>240</v>
      </c>
      <c r="C16">
        <v>32</v>
      </c>
      <c r="D16">
        <v>2</v>
      </c>
      <c r="E16">
        <f t="shared" si="3"/>
        <v>4182</v>
      </c>
      <c r="F16" s="3">
        <f t="shared" si="2"/>
        <v>4.6475858558692722E-3</v>
      </c>
      <c r="G16">
        <v>3723</v>
      </c>
      <c r="H16">
        <f t="shared" si="0"/>
        <v>893520</v>
      </c>
      <c r="I16">
        <f t="shared" si="1"/>
        <v>2</v>
      </c>
    </row>
    <row r="17" spans="1:9" x14ac:dyDescent="0.3">
      <c r="A17" t="s">
        <v>158</v>
      </c>
      <c r="B17">
        <v>31983</v>
      </c>
      <c r="C17">
        <v>30418</v>
      </c>
      <c r="D17">
        <v>117</v>
      </c>
      <c r="E17">
        <f t="shared" si="3"/>
        <v>36165</v>
      </c>
      <c r="F17" s="3">
        <f t="shared" si="2"/>
        <v>4.0191282275827883E-2</v>
      </c>
      <c r="G17">
        <v>516</v>
      </c>
      <c r="H17">
        <f t="shared" si="0"/>
        <v>16503228</v>
      </c>
      <c r="I17">
        <f t="shared" si="1"/>
        <v>0</v>
      </c>
    </row>
    <row r="18" spans="1:9" x14ac:dyDescent="0.3">
      <c r="A18" t="s">
        <v>23</v>
      </c>
      <c r="B18">
        <v>699</v>
      </c>
      <c r="C18">
        <v>450</v>
      </c>
      <c r="D18">
        <v>1</v>
      </c>
      <c r="E18">
        <f t="shared" si="3"/>
        <v>36864</v>
      </c>
      <c r="F18" s="3">
        <f t="shared" si="2"/>
        <v>4.0968102580288102E-2</v>
      </c>
      <c r="G18">
        <v>4178</v>
      </c>
      <c r="H18">
        <f t="shared" si="0"/>
        <v>2920422</v>
      </c>
      <c r="I18">
        <f t="shared" si="1"/>
        <v>2</v>
      </c>
    </row>
    <row r="19" spans="1:9" x14ac:dyDescent="0.3">
      <c r="A19" t="s">
        <v>24</v>
      </c>
      <c r="B19">
        <v>749</v>
      </c>
      <c r="C19">
        <v>150</v>
      </c>
      <c r="D19">
        <v>1</v>
      </c>
      <c r="E19">
        <f t="shared" si="3"/>
        <v>37613</v>
      </c>
      <c r="F19" s="3">
        <f t="shared" si="2"/>
        <v>4.1800489430131739E-2</v>
      </c>
      <c r="G19">
        <v>884</v>
      </c>
      <c r="H19">
        <f t="shared" si="0"/>
        <v>662116</v>
      </c>
      <c r="I19">
        <f t="shared" si="1"/>
        <v>2</v>
      </c>
    </row>
    <row r="20" spans="1:9" x14ac:dyDescent="0.3">
      <c r="A20" t="s">
        <v>25</v>
      </c>
      <c r="B20">
        <v>780</v>
      </c>
      <c r="C20">
        <v>200</v>
      </c>
      <c r="D20">
        <v>1</v>
      </c>
      <c r="E20">
        <f t="shared" si="3"/>
        <v>38393</v>
      </c>
      <c r="F20" s="3">
        <f t="shared" si="2"/>
        <v>4.2667327538113094E-2</v>
      </c>
      <c r="G20">
        <v>847</v>
      </c>
      <c r="H20">
        <f t="shared" si="0"/>
        <v>660660</v>
      </c>
      <c r="I20">
        <f t="shared" si="1"/>
        <v>2</v>
      </c>
    </row>
    <row r="21" spans="1:9" x14ac:dyDescent="0.3">
      <c r="A21" t="s">
        <v>26</v>
      </c>
      <c r="B21">
        <v>400</v>
      </c>
      <c r="C21">
        <v>140</v>
      </c>
      <c r="D21">
        <v>2</v>
      </c>
      <c r="E21">
        <f t="shared" si="3"/>
        <v>38793</v>
      </c>
      <c r="F21" s="3">
        <f t="shared" si="2"/>
        <v>4.3111859901180459E-2</v>
      </c>
      <c r="G21">
        <v>750</v>
      </c>
      <c r="H21">
        <f t="shared" si="0"/>
        <v>300000</v>
      </c>
      <c r="I21">
        <f t="shared" si="1"/>
        <v>2</v>
      </c>
    </row>
    <row r="22" spans="1:9" x14ac:dyDescent="0.3">
      <c r="A22" t="s">
        <v>27</v>
      </c>
      <c r="B22">
        <v>297</v>
      </c>
      <c r="C22">
        <v>150</v>
      </c>
      <c r="D22">
        <v>3</v>
      </c>
      <c r="E22">
        <f t="shared" si="3"/>
        <v>39090</v>
      </c>
      <c r="F22" s="3">
        <f t="shared" si="2"/>
        <v>4.344192518075797E-2</v>
      </c>
      <c r="G22">
        <v>585</v>
      </c>
      <c r="H22">
        <f t="shared" si="0"/>
        <v>173745</v>
      </c>
      <c r="I22">
        <f t="shared" si="1"/>
        <v>2</v>
      </c>
    </row>
    <row r="23" spans="1:9" x14ac:dyDescent="0.3">
      <c r="A23" t="s">
        <v>28</v>
      </c>
      <c r="B23">
        <v>240</v>
      </c>
      <c r="C23">
        <v>200</v>
      </c>
      <c r="D23">
        <v>4</v>
      </c>
      <c r="E23">
        <f t="shared" si="3"/>
        <v>39330</v>
      </c>
      <c r="F23" s="3">
        <f t="shared" si="2"/>
        <v>4.3708644598598391E-2</v>
      </c>
      <c r="G23">
        <v>3829</v>
      </c>
      <c r="H23">
        <f t="shared" si="0"/>
        <v>918960</v>
      </c>
      <c r="I23">
        <f t="shared" si="1"/>
        <v>2</v>
      </c>
    </row>
    <row r="24" spans="1:9" x14ac:dyDescent="0.3">
      <c r="A24" t="s">
        <v>29</v>
      </c>
      <c r="B24">
        <v>1000</v>
      </c>
      <c r="C24">
        <v>140</v>
      </c>
      <c r="D24">
        <v>1</v>
      </c>
      <c r="E24">
        <f t="shared" si="3"/>
        <v>40330</v>
      </c>
      <c r="F24" s="3">
        <f t="shared" si="2"/>
        <v>4.4819975506266797E-2</v>
      </c>
      <c r="G24">
        <v>884</v>
      </c>
      <c r="H24">
        <f t="shared" si="0"/>
        <v>884000</v>
      </c>
      <c r="I24">
        <f t="shared" si="1"/>
        <v>2</v>
      </c>
    </row>
    <row r="25" spans="1:9" x14ac:dyDescent="0.3">
      <c r="A25" t="s">
        <v>30</v>
      </c>
      <c r="B25">
        <v>1020</v>
      </c>
      <c r="C25">
        <v>300</v>
      </c>
      <c r="D25">
        <v>1</v>
      </c>
      <c r="E25">
        <f t="shared" si="3"/>
        <v>41350</v>
      </c>
      <c r="F25" s="3">
        <f t="shared" si="2"/>
        <v>4.5953533032088566E-2</v>
      </c>
      <c r="G25">
        <v>1016</v>
      </c>
      <c r="H25">
        <f t="shared" si="0"/>
        <v>1036320</v>
      </c>
      <c r="I25">
        <f t="shared" si="1"/>
        <v>2</v>
      </c>
    </row>
    <row r="26" spans="1:9" x14ac:dyDescent="0.3">
      <c r="A26" t="s">
        <v>31</v>
      </c>
      <c r="B26">
        <v>360</v>
      </c>
      <c r="C26">
        <v>300</v>
      </c>
      <c r="D26">
        <v>3</v>
      </c>
      <c r="E26">
        <f t="shared" si="3"/>
        <v>41710</v>
      </c>
      <c r="F26" s="3">
        <f t="shared" si="2"/>
        <v>4.6353612158849193E-2</v>
      </c>
      <c r="G26">
        <v>881</v>
      </c>
      <c r="H26">
        <f t="shared" si="0"/>
        <v>317160</v>
      </c>
      <c r="I26">
        <f t="shared" si="1"/>
        <v>2</v>
      </c>
    </row>
    <row r="27" spans="1:9" x14ac:dyDescent="0.3">
      <c r="A27" t="s">
        <v>32</v>
      </c>
      <c r="B27">
        <v>1200</v>
      </c>
      <c r="C27">
        <v>227</v>
      </c>
      <c r="D27">
        <v>1</v>
      </c>
      <c r="E27">
        <f t="shared" si="3"/>
        <v>42910</v>
      </c>
      <c r="F27" s="3">
        <f t="shared" si="2"/>
        <v>4.7687209248051282E-2</v>
      </c>
      <c r="G27">
        <v>1016</v>
      </c>
      <c r="H27">
        <f t="shared" si="0"/>
        <v>1219200</v>
      </c>
      <c r="I27">
        <f t="shared" si="1"/>
        <v>2</v>
      </c>
    </row>
    <row r="28" spans="1:9" x14ac:dyDescent="0.3">
      <c r="A28" t="s">
        <v>33</v>
      </c>
      <c r="B28">
        <v>600</v>
      </c>
      <c r="C28">
        <v>100</v>
      </c>
      <c r="D28">
        <v>2</v>
      </c>
      <c r="E28">
        <f t="shared" si="3"/>
        <v>43510</v>
      </c>
      <c r="F28" s="3">
        <f t="shared" si="2"/>
        <v>4.8354007792652323E-2</v>
      </c>
      <c r="G28">
        <v>750</v>
      </c>
      <c r="H28">
        <f t="shared" si="0"/>
        <v>450000</v>
      </c>
      <c r="I28">
        <f t="shared" si="1"/>
        <v>2</v>
      </c>
    </row>
    <row r="29" spans="1:9" x14ac:dyDescent="0.3">
      <c r="A29" t="s">
        <v>34</v>
      </c>
      <c r="B29">
        <v>469</v>
      </c>
      <c r="C29">
        <v>544</v>
      </c>
      <c r="D29">
        <v>3</v>
      </c>
      <c r="E29">
        <f t="shared" si="3"/>
        <v>43979</v>
      </c>
      <c r="F29" s="3">
        <f t="shared" si="2"/>
        <v>4.8875221988348809E-2</v>
      </c>
      <c r="G29">
        <v>923</v>
      </c>
      <c r="H29">
        <f t="shared" si="0"/>
        <v>432887</v>
      </c>
      <c r="I29">
        <f t="shared" si="1"/>
        <v>2</v>
      </c>
    </row>
    <row r="30" spans="1:9" x14ac:dyDescent="0.3">
      <c r="A30" t="s">
        <v>35</v>
      </c>
      <c r="B30">
        <v>470</v>
      </c>
      <c r="C30">
        <v>180</v>
      </c>
      <c r="D30">
        <v>3</v>
      </c>
      <c r="E30">
        <f t="shared" si="3"/>
        <v>44449</v>
      </c>
      <c r="F30" s="3">
        <f t="shared" si="2"/>
        <v>4.9397547514952955E-2</v>
      </c>
      <c r="G30">
        <v>602</v>
      </c>
      <c r="H30">
        <f t="shared" si="0"/>
        <v>282940</v>
      </c>
      <c r="I30">
        <f t="shared" si="1"/>
        <v>2</v>
      </c>
    </row>
    <row r="31" spans="1:9" x14ac:dyDescent="0.3">
      <c r="A31" t="s">
        <v>36</v>
      </c>
      <c r="B31">
        <v>480</v>
      </c>
      <c r="C31">
        <v>150</v>
      </c>
      <c r="D31">
        <v>3</v>
      </c>
      <c r="E31">
        <f t="shared" si="3"/>
        <v>44929</v>
      </c>
      <c r="F31" s="3">
        <f t="shared" si="2"/>
        <v>4.9930986350633789E-2</v>
      </c>
      <c r="G31">
        <v>750</v>
      </c>
      <c r="H31">
        <f t="shared" si="0"/>
        <v>360000</v>
      </c>
      <c r="I31">
        <f t="shared" si="1"/>
        <v>2</v>
      </c>
    </row>
    <row r="32" spans="1:9" x14ac:dyDescent="0.3">
      <c r="A32" t="s">
        <v>37</v>
      </c>
      <c r="B32">
        <v>499</v>
      </c>
      <c r="C32">
        <v>150</v>
      </c>
      <c r="D32">
        <v>3</v>
      </c>
      <c r="E32">
        <f t="shared" si="3"/>
        <v>45428</v>
      </c>
      <c r="F32" s="3">
        <f t="shared" si="2"/>
        <v>5.0485540473560325E-2</v>
      </c>
      <c r="G32">
        <v>750</v>
      </c>
      <c r="H32">
        <f t="shared" si="0"/>
        <v>374250</v>
      </c>
      <c r="I32">
        <f t="shared" si="1"/>
        <v>2</v>
      </c>
    </row>
    <row r="33" spans="1:9" x14ac:dyDescent="0.3">
      <c r="A33" t="s">
        <v>38</v>
      </c>
      <c r="B33">
        <v>600</v>
      </c>
      <c r="C33">
        <v>150</v>
      </c>
      <c r="D33">
        <v>3</v>
      </c>
      <c r="E33">
        <f t="shared" si="3"/>
        <v>46028</v>
      </c>
      <c r="F33" s="3">
        <f t="shared" si="2"/>
        <v>5.1152339018161366E-2</v>
      </c>
      <c r="G33">
        <v>750</v>
      </c>
      <c r="H33">
        <f t="shared" si="0"/>
        <v>450000</v>
      </c>
      <c r="I33">
        <f t="shared" si="1"/>
        <v>2</v>
      </c>
    </row>
    <row r="34" spans="1:9" x14ac:dyDescent="0.3">
      <c r="A34" t="s">
        <v>39</v>
      </c>
      <c r="B34">
        <v>360</v>
      </c>
      <c r="C34">
        <v>408</v>
      </c>
      <c r="D34">
        <v>5</v>
      </c>
      <c r="E34">
        <f t="shared" si="3"/>
        <v>46388</v>
      </c>
      <c r="F34" s="3">
        <f t="shared" si="2"/>
        <v>5.1552418144921994E-2</v>
      </c>
      <c r="G34">
        <v>4044</v>
      </c>
      <c r="H34">
        <f t="shared" ref="H34:H65" si="4">G34*B34</f>
        <v>1455840</v>
      </c>
      <c r="I34">
        <f t="shared" ref="I34:I65" si="5">IF(D34&lt;=488.5,
    IF(C34&lt;=550,
        IF(C34&lt;=402.5,
            2,
            IF(D34&lt;=350.5,2,0)
        ),
        0
    ),
    IF(D34&lt;=1798,
        IF(C34&lt;=205.5,
            2,
            0
        ),
        IF(C34&lt;=1502.5,
            1,
            3
        )
    )
)</f>
        <v>2</v>
      </c>
    </row>
    <row r="35" spans="1:9" x14ac:dyDescent="0.3">
      <c r="A35" t="s">
        <v>40</v>
      </c>
      <c r="B35">
        <v>629</v>
      </c>
      <c r="C35">
        <v>150</v>
      </c>
      <c r="D35">
        <v>3</v>
      </c>
      <c r="E35">
        <f t="shared" si="3"/>
        <v>47017</v>
      </c>
      <c r="F35" s="3">
        <f t="shared" si="2"/>
        <v>5.2251445285845424E-2</v>
      </c>
      <c r="G35">
        <v>750</v>
      </c>
      <c r="H35">
        <f t="shared" si="4"/>
        <v>471750</v>
      </c>
      <c r="I35">
        <f t="shared" si="5"/>
        <v>2</v>
      </c>
    </row>
    <row r="36" spans="1:9" x14ac:dyDescent="0.3">
      <c r="A36" t="s">
        <v>41</v>
      </c>
      <c r="B36">
        <v>998</v>
      </c>
      <c r="C36">
        <v>230</v>
      </c>
      <c r="D36">
        <v>2</v>
      </c>
      <c r="E36">
        <f t="shared" si="3"/>
        <v>48015</v>
      </c>
      <c r="F36" s="3">
        <f t="shared" si="2"/>
        <v>5.3360553531698489E-2</v>
      </c>
      <c r="G36">
        <v>1016</v>
      </c>
      <c r="H36">
        <f t="shared" si="4"/>
        <v>1013968</v>
      </c>
      <c r="I36">
        <f t="shared" si="5"/>
        <v>2</v>
      </c>
    </row>
    <row r="37" spans="1:9" x14ac:dyDescent="0.3">
      <c r="A37" t="s">
        <v>42</v>
      </c>
      <c r="B37">
        <v>998</v>
      </c>
      <c r="C37">
        <v>300</v>
      </c>
      <c r="D37">
        <v>2</v>
      </c>
      <c r="E37">
        <f t="shared" si="3"/>
        <v>49013</v>
      </c>
      <c r="F37" s="3">
        <f t="shared" si="2"/>
        <v>5.446966177755156E-2</v>
      </c>
      <c r="G37">
        <v>1016</v>
      </c>
      <c r="H37">
        <f t="shared" si="4"/>
        <v>1013968</v>
      </c>
      <c r="I37">
        <f t="shared" si="5"/>
        <v>2</v>
      </c>
    </row>
    <row r="38" spans="1:9" x14ac:dyDescent="0.3">
      <c r="A38" t="s">
        <v>43</v>
      </c>
      <c r="B38">
        <v>1998</v>
      </c>
      <c r="C38">
        <v>400</v>
      </c>
      <c r="D38">
        <v>1</v>
      </c>
      <c r="E38">
        <f t="shared" si="3"/>
        <v>51011</v>
      </c>
      <c r="F38" s="3">
        <f t="shared" si="2"/>
        <v>5.6690100931073031E-2</v>
      </c>
      <c r="G38">
        <v>3981</v>
      </c>
      <c r="H38">
        <f t="shared" si="4"/>
        <v>7954038</v>
      </c>
      <c r="I38">
        <f t="shared" si="5"/>
        <v>2</v>
      </c>
    </row>
    <row r="39" spans="1:9" x14ac:dyDescent="0.3">
      <c r="A39" t="s">
        <v>44</v>
      </c>
      <c r="B39">
        <v>750</v>
      </c>
      <c r="C39">
        <v>360</v>
      </c>
      <c r="D39">
        <v>3</v>
      </c>
      <c r="E39">
        <f t="shared" si="3"/>
        <v>51761</v>
      </c>
      <c r="F39" s="3">
        <f t="shared" si="2"/>
        <v>5.7523599111824336E-2</v>
      </c>
      <c r="G39">
        <v>706</v>
      </c>
      <c r="H39">
        <f t="shared" si="4"/>
        <v>529500</v>
      </c>
      <c r="I39">
        <f t="shared" si="5"/>
        <v>2</v>
      </c>
    </row>
    <row r="40" spans="1:9" x14ac:dyDescent="0.3">
      <c r="A40" t="s">
        <v>45</v>
      </c>
      <c r="B40">
        <v>750</v>
      </c>
      <c r="C40">
        <v>300</v>
      </c>
      <c r="D40">
        <v>3</v>
      </c>
      <c r="E40">
        <f t="shared" si="3"/>
        <v>52511</v>
      </c>
      <c r="F40" s="3">
        <f t="shared" si="2"/>
        <v>5.8357097292575641E-2</v>
      </c>
      <c r="G40">
        <v>1016</v>
      </c>
      <c r="H40">
        <f t="shared" si="4"/>
        <v>762000</v>
      </c>
      <c r="I40">
        <f t="shared" si="5"/>
        <v>2</v>
      </c>
    </row>
    <row r="41" spans="1:9" x14ac:dyDescent="0.3">
      <c r="A41" t="s">
        <v>156</v>
      </c>
      <c r="B41">
        <v>25545</v>
      </c>
      <c r="C41">
        <v>6550</v>
      </c>
      <c r="D41">
        <v>110</v>
      </c>
      <c r="E41">
        <f t="shared" si="3"/>
        <v>78056</v>
      </c>
      <c r="F41" s="3">
        <f t="shared" si="2"/>
        <v>8.6746045328965057E-2</v>
      </c>
      <c r="G41">
        <v>516</v>
      </c>
      <c r="H41">
        <f t="shared" si="4"/>
        <v>13181220</v>
      </c>
      <c r="I41">
        <f t="shared" si="5"/>
        <v>0</v>
      </c>
    </row>
    <row r="42" spans="1:9" x14ac:dyDescent="0.3">
      <c r="A42" t="s">
        <v>47</v>
      </c>
      <c r="B42">
        <v>1140</v>
      </c>
      <c r="C42">
        <v>300</v>
      </c>
      <c r="D42">
        <v>2</v>
      </c>
      <c r="E42">
        <f t="shared" si="3"/>
        <v>79196</v>
      </c>
      <c r="F42" s="3">
        <f t="shared" si="2"/>
        <v>8.801296256370704E-2</v>
      </c>
      <c r="G42">
        <v>1016</v>
      </c>
      <c r="H42">
        <f t="shared" si="4"/>
        <v>1158240</v>
      </c>
      <c r="I42">
        <f t="shared" si="5"/>
        <v>2</v>
      </c>
    </row>
    <row r="43" spans="1:9" x14ac:dyDescent="0.3">
      <c r="A43" t="s">
        <v>48</v>
      </c>
      <c r="B43">
        <v>800</v>
      </c>
      <c r="C43">
        <v>300</v>
      </c>
      <c r="D43">
        <v>3</v>
      </c>
      <c r="E43">
        <f t="shared" si="3"/>
        <v>79996</v>
      </c>
      <c r="F43" s="3">
        <f t="shared" si="2"/>
        <v>8.890202728984177E-2</v>
      </c>
      <c r="G43">
        <v>1016</v>
      </c>
      <c r="H43">
        <f t="shared" si="4"/>
        <v>812800</v>
      </c>
      <c r="I43">
        <f t="shared" si="5"/>
        <v>2</v>
      </c>
    </row>
    <row r="44" spans="1:9" x14ac:dyDescent="0.3">
      <c r="A44" t="s">
        <v>49</v>
      </c>
      <c r="B44">
        <v>840</v>
      </c>
      <c r="C44">
        <v>300</v>
      </c>
      <c r="D44">
        <v>3</v>
      </c>
      <c r="E44">
        <f t="shared" si="3"/>
        <v>80836</v>
      </c>
      <c r="F44" s="3">
        <f t="shared" si="2"/>
        <v>8.9835545252283225E-2</v>
      </c>
      <c r="G44">
        <v>1016</v>
      </c>
      <c r="H44">
        <f t="shared" si="4"/>
        <v>853440</v>
      </c>
      <c r="I44">
        <f t="shared" si="5"/>
        <v>2</v>
      </c>
    </row>
    <row r="45" spans="1:9" x14ac:dyDescent="0.3">
      <c r="A45" t="s">
        <v>50</v>
      </c>
      <c r="B45">
        <v>859</v>
      </c>
      <c r="C45">
        <v>320</v>
      </c>
      <c r="D45">
        <v>3</v>
      </c>
      <c r="E45">
        <f t="shared" si="3"/>
        <v>81695</v>
      </c>
      <c r="F45" s="3">
        <f t="shared" si="2"/>
        <v>9.0790178501970395E-2</v>
      </c>
      <c r="G45">
        <v>1016</v>
      </c>
      <c r="H45">
        <f t="shared" si="4"/>
        <v>872744</v>
      </c>
      <c r="I45">
        <f t="shared" si="5"/>
        <v>2</v>
      </c>
    </row>
    <row r="46" spans="1:9" x14ac:dyDescent="0.3">
      <c r="A46" t="s">
        <v>51</v>
      </c>
      <c r="B46">
        <v>579</v>
      </c>
      <c r="C46">
        <v>250</v>
      </c>
      <c r="D46">
        <v>5</v>
      </c>
      <c r="E46">
        <f t="shared" si="3"/>
        <v>82274</v>
      </c>
      <c r="F46" s="3">
        <f t="shared" si="2"/>
        <v>9.14336390975104E-2</v>
      </c>
      <c r="G46">
        <v>881</v>
      </c>
      <c r="H46">
        <f t="shared" si="4"/>
        <v>510099</v>
      </c>
      <c r="I46">
        <f t="shared" si="5"/>
        <v>2</v>
      </c>
    </row>
    <row r="47" spans="1:9" x14ac:dyDescent="0.3">
      <c r="A47" t="s">
        <v>52</v>
      </c>
      <c r="B47">
        <v>1498</v>
      </c>
      <c r="C47">
        <v>500</v>
      </c>
      <c r="D47">
        <v>2</v>
      </c>
      <c r="E47">
        <f t="shared" si="3"/>
        <v>83772</v>
      </c>
      <c r="F47" s="3">
        <f t="shared" si="2"/>
        <v>9.3098412797197674E-2</v>
      </c>
      <c r="G47">
        <v>1057</v>
      </c>
      <c r="H47">
        <f t="shared" si="4"/>
        <v>1583386</v>
      </c>
      <c r="I47">
        <f t="shared" si="5"/>
        <v>2</v>
      </c>
    </row>
    <row r="48" spans="1:9" x14ac:dyDescent="0.3">
      <c r="A48" t="s">
        <v>154</v>
      </c>
      <c r="B48">
        <v>18062</v>
      </c>
      <c r="C48">
        <v>2484</v>
      </c>
      <c r="D48">
        <v>108</v>
      </c>
      <c r="E48">
        <f t="shared" si="3"/>
        <v>101834</v>
      </c>
      <c r="F48" s="3">
        <f t="shared" si="2"/>
        <v>0.11317127165150441</v>
      </c>
      <c r="G48">
        <v>516</v>
      </c>
      <c r="H48">
        <f t="shared" si="4"/>
        <v>9319992</v>
      </c>
      <c r="I48">
        <f t="shared" si="5"/>
        <v>0</v>
      </c>
    </row>
    <row r="49" spans="1:9" x14ac:dyDescent="0.3">
      <c r="A49" t="s">
        <v>54</v>
      </c>
      <c r="B49">
        <v>1200</v>
      </c>
      <c r="C49">
        <v>300</v>
      </c>
      <c r="D49">
        <v>3</v>
      </c>
      <c r="E49">
        <f t="shared" si="3"/>
        <v>103034</v>
      </c>
      <c r="F49" s="3">
        <f t="shared" si="2"/>
        <v>0.11450486874070649</v>
      </c>
      <c r="G49">
        <v>1016</v>
      </c>
      <c r="H49">
        <f t="shared" si="4"/>
        <v>1219200</v>
      </c>
      <c r="I49">
        <f t="shared" si="5"/>
        <v>2</v>
      </c>
    </row>
    <row r="50" spans="1:9" x14ac:dyDescent="0.3">
      <c r="A50" t="s">
        <v>55</v>
      </c>
      <c r="B50">
        <v>1200</v>
      </c>
      <c r="C50">
        <v>420</v>
      </c>
      <c r="D50">
        <v>3</v>
      </c>
      <c r="E50">
        <f t="shared" si="3"/>
        <v>104234</v>
      </c>
      <c r="F50" s="3">
        <f t="shared" si="2"/>
        <v>0.11583846582990859</v>
      </c>
      <c r="G50">
        <v>4178</v>
      </c>
      <c r="H50">
        <f t="shared" si="4"/>
        <v>5013600</v>
      </c>
      <c r="I50">
        <f t="shared" si="5"/>
        <v>2</v>
      </c>
    </row>
    <row r="51" spans="1:9" x14ac:dyDescent="0.3">
      <c r="A51" t="s">
        <v>56</v>
      </c>
      <c r="B51">
        <v>750</v>
      </c>
      <c r="C51">
        <v>250</v>
      </c>
      <c r="D51">
        <v>5</v>
      </c>
      <c r="E51">
        <f t="shared" si="3"/>
        <v>104984</v>
      </c>
      <c r="F51" s="3">
        <f t="shared" si="2"/>
        <v>0.11667196401065989</v>
      </c>
      <c r="G51">
        <v>1016</v>
      </c>
      <c r="H51">
        <f t="shared" si="4"/>
        <v>762000</v>
      </c>
      <c r="I51">
        <f t="shared" si="5"/>
        <v>2</v>
      </c>
    </row>
    <row r="52" spans="1:9" x14ac:dyDescent="0.3">
      <c r="A52" t="s">
        <v>157</v>
      </c>
      <c r="B52">
        <v>31578</v>
      </c>
      <c r="C52">
        <v>6200</v>
      </c>
      <c r="D52">
        <v>101</v>
      </c>
      <c r="E52">
        <f t="shared" si="3"/>
        <v>136562</v>
      </c>
      <c r="F52" s="3">
        <f t="shared" si="2"/>
        <v>0.15176557141301281</v>
      </c>
      <c r="G52">
        <v>516</v>
      </c>
      <c r="H52">
        <f t="shared" si="4"/>
        <v>16294248</v>
      </c>
      <c r="I52">
        <f t="shared" si="5"/>
        <v>0</v>
      </c>
    </row>
    <row r="53" spans="1:9" x14ac:dyDescent="0.3">
      <c r="A53" t="s">
        <v>152</v>
      </c>
      <c r="B53">
        <v>18109</v>
      </c>
      <c r="C53">
        <v>4350</v>
      </c>
      <c r="D53">
        <v>82</v>
      </c>
      <c r="E53">
        <f t="shared" si="3"/>
        <v>154671</v>
      </c>
      <c r="F53" s="3">
        <f t="shared" si="2"/>
        <v>0.17189066281997994</v>
      </c>
      <c r="G53">
        <v>516</v>
      </c>
      <c r="H53">
        <f t="shared" si="4"/>
        <v>9344244</v>
      </c>
      <c r="I53">
        <f t="shared" si="5"/>
        <v>0</v>
      </c>
    </row>
    <row r="54" spans="1:9" x14ac:dyDescent="0.3">
      <c r="A54" t="s">
        <v>59</v>
      </c>
      <c r="B54">
        <v>1100</v>
      </c>
      <c r="C54">
        <v>250</v>
      </c>
      <c r="D54">
        <v>5</v>
      </c>
      <c r="E54">
        <f t="shared" si="3"/>
        <v>155771</v>
      </c>
      <c r="F54" s="3">
        <f t="shared" si="2"/>
        <v>0.1731131268184152</v>
      </c>
      <c r="G54">
        <v>1016</v>
      </c>
      <c r="H54">
        <f t="shared" si="4"/>
        <v>1117600</v>
      </c>
      <c r="I54">
        <f t="shared" si="5"/>
        <v>2</v>
      </c>
    </row>
    <row r="55" spans="1:9" x14ac:dyDescent="0.3">
      <c r="A55" t="s">
        <v>60</v>
      </c>
      <c r="B55">
        <v>1400</v>
      </c>
      <c r="C55">
        <v>350</v>
      </c>
      <c r="D55">
        <v>4</v>
      </c>
      <c r="E55">
        <f t="shared" si="3"/>
        <v>157171</v>
      </c>
      <c r="F55" s="3">
        <f t="shared" si="2"/>
        <v>0.17466899008915096</v>
      </c>
      <c r="G55">
        <v>706</v>
      </c>
      <c r="H55">
        <f t="shared" si="4"/>
        <v>988400</v>
      </c>
      <c r="I55">
        <f t="shared" si="5"/>
        <v>2</v>
      </c>
    </row>
    <row r="56" spans="1:9" x14ac:dyDescent="0.3">
      <c r="A56" t="s">
        <v>61</v>
      </c>
      <c r="B56">
        <v>1430</v>
      </c>
      <c r="C56">
        <v>350</v>
      </c>
      <c r="D56">
        <v>4</v>
      </c>
      <c r="E56">
        <f t="shared" si="3"/>
        <v>158601</v>
      </c>
      <c r="F56" s="3">
        <f t="shared" si="2"/>
        <v>0.17625819328711678</v>
      </c>
      <c r="G56">
        <v>706</v>
      </c>
      <c r="H56">
        <f t="shared" si="4"/>
        <v>1009580</v>
      </c>
      <c r="I56">
        <f t="shared" si="5"/>
        <v>2</v>
      </c>
    </row>
    <row r="57" spans="1:9" x14ac:dyDescent="0.3">
      <c r="A57" t="s">
        <v>62</v>
      </c>
      <c r="B57">
        <v>1158</v>
      </c>
      <c r="C57">
        <v>240</v>
      </c>
      <c r="D57">
        <v>5</v>
      </c>
      <c r="E57">
        <f t="shared" si="3"/>
        <v>159759</v>
      </c>
      <c r="F57" s="3">
        <f t="shared" si="2"/>
        <v>0.17754511447819679</v>
      </c>
      <c r="G57">
        <v>1016</v>
      </c>
      <c r="H57">
        <f t="shared" si="4"/>
        <v>1176528</v>
      </c>
      <c r="I57">
        <f t="shared" si="5"/>
        <v>2</v>
      </c>
    </row>
    <row r="58" spans="1:9" x14ac:dyDescent="0.3">
      <c r="A58" t="s">
        <v>155</v>
      </c>
      <c r="B58">
        <v>30456</v>
      </c>
      <c r="C58">
        <v>15652</v>
      </c>
      <c r="D58">
        <v>74</v>
      </c>
      <c r="E58">
        <f t="shared" si="3"/>
        <v>190215</v>
      </c>
      <c r="F58" s="3">
        <f t="shared" si="2"/>
        <v>0.21139180860214576</v>
      </c>
      <c r="G58">
        <v>516</v>
      </c>
      <c r="H58">
        <f t="shared" si="4"/>
        <v>15715296</v>
      </c>
      <c r="I58">
        <f t="shared" si="5"/>
        <v>0</v>
      </c>
    </row>
    <row r="59" spans="1:9" x14ac:dyDescent="0.3">
      <c r="A59" t="s">
        <v>64</v>
      </c>
      <c r="B59">
        <v>3157</v>
      </c>
      <c r="C59">
        <v>454</v>
      </c>
      <c r="D59">
        <v>2</v>
      </c>
      <c r="E59">
        <f t="shared" si="3"/>
        <v>193372</v>
      </c>
      <c r="F59" s="3">
        <f t="shared" si="2"/>
        <v>0.21490028027765493</v>
      </c>
      <c r="G59">
        <v>4178</v>
      </c>
      <c r="H59">
        <f t="shared" si="4"/>
        <v>13189946</v>
      </c>
      <c r="I59">
        <f t="shared" si="5"/>
        <v>2</v>
      </c>
    </row>
    <row r="60" spans="1:9" x14ac:dyDescent="0.3">
      <c r="A60" t="s">
        <v>146</v>
      </c>
      <c r="B60">
        <v>13787</v>
      </c>
      <c r="C60">
        <v>4685</v>
      </c>
      <c r="D60">
        <v>69</v>
      </c>
      <c r="E60">
        <f t="shared" si="3"/>
        <v>207159</v>
      </c>
      <c r="F60" s="3">
        <f t="shared" si="2"/>
        <v>0.23022219950167921</v>
      </c>
      <c r="G60">
        <v>516</v>
      </c>
      <c r="H60">
        <f t="shared" si="4"/>
        <v>7114092</v>
      </c>
      <c r="I60">
        <f t="shared" si="5"/>
        <v>0</v>
      </c>
    </row>
    <row r="61" spans="1:9" x14ac:dyDescent="0.3">
      <c r="A61" t="s">
        <v>66</v>
      </c>
      <c r="B61">
        <v>1227</v>
      </c>
      <c r="C61">
        <v>300</v>
      </c>
      <c r="D61">
        <v>6</v>
      </c>
      <c r="E61">
        <f t="shared" si="3"/>
        <v>208386</v>
      </c>
      <c r="F61" s="3">
        <f t="shared" si="2"/>
        <v>0.23158580252538835</v>
      </c>
      <c r="G61">
        <v>1016</v>
      </c>
      <c r="H61">
        <f t="shared" si="4"/>
        <v>1246632</v>
      </c>
      <c r="I61">
        <f t="shared" si="5"/>
        <v>2</v>
      </c>
    </row>
    <row r="62" spans="1:9" x14ac:dyDescent="0.3">
      <c r="A62" t="s">
        <v>153</v>
      </c>
      <c r="B62">
        <v>23057</v>
      </c>
      <c r="C62">
        <v>4950</v>
      </c>
      <c r="D62">
        <v>67</v>
      </c>
      <c r="E62">
        <f t="shared" si="3"/>
        <v>231443</v>
      </c>
      <c r="F62" s="3">
        <f t="shared" si="2"/>
        <v>0.25720975926349876</v>
      </c>
      <c r="G62">
        <v>516</v>
      </c>
      <c r="H62">
        <f t="shared" si="4"/>
        <v>11897412</v>
      </c>
      <c r="I62">
        <f t="shared" si="5"/>
        <v>0</v>
      </c>
    </row>
    <row r="63" spans="1:9" x14ac:dyDescent="0.3">
      <c r="A63" t="s">
        <v>149</v>
      </c>
      <c r="B63">
        <v>17389</v>
      </c>
      <c r="C63">
        <v>3950</v>
      </c>
      <c r="D63">
        <v>65</v>
      </c>
      <c r="E63">
        <f t="shared" si="3"/>
        <v>248832</v>
      </c>
      <c r="F63" s="3">
        <f t="shared" si="2"/>
        <v>0.27653469241694467</v>
      </c>
      <c r="G63">
        <v>516</v>
      </c>
      <c r="H63">
        <f t="shared" si="4"/>
        <v>8972724</v>
      </c>
      <c r="I63">
        <f t="shared" si="5"/>
        <v>0</v>
      </c>
    </row>
    <row r="64" spans="1:9" x14ac:dyDescent="0.3">
      <c r="A64" t="s">
        <v>151</v>
      </c>
      <c r="B64">
        <v>23148</v>
      </c>
      <c r="C64">
        <v>13847</v>
      </c>
      <c r="D64">
        <v>56</v>
      </c>
      <c r="E64">
        <f t="shared" si="3"/>
        <v>271980</v>
      </c>
      <c r="F64" s="3">
        <f t="shared" si="2"/>
        <v>0.30225978026765293</v>
      </c>
      <c r="G64">
        <v>516</v>
      </c>
      <c r="H64">
        <f t="shared" si="4"/>
        <v>11944368</v>
      </c>
      <c r="I64">
        <f t="shared" si="5"/>
        <v>0</v>
      </c>
    </row>
    <row r="65" spans="1:9" x14ac:dyDescent="0.3">
      <c r="A65" t="s">
        <v>144</v>
      </c>
      <c r="B65">
        <v>19248</v>
      </c>
      <c r="C65">
        <v>6060</v>
      </c>
      <c r="D65">
        <v>46</v>
      </c>
      <c r="E65">
        <f t="shared" si="3"/>
        <v>291228</v>
      </c>
      <c r="F65" s="3">
        <f t="shared" si="2"/>
        <v>0.32365067757845439</v>
      </c>
      <c r="G65">
        <v>516</v>
      </c>
      <c r="H65">
        <f t="shared" si="4"/>
        <v>9931968</v>
      </c>
      <c r="I65">
        <f t="shared" si="5"/>
        <v>0</v>
      </c>
    </row>
    <row r="66" spans="1:9" x14ac:dyDescent="0.3">
      <c r="A66" t="s">
        <v>71</v>
      </c>
      <c r="B66">
        <v>1618</v>
      </c>
      <c r="C66">
        <v>350</v>
      </c>
      <c r="D66">
        <v>7</v>
      </c>
      <c r="E66">
        <f t="shared" si="3"/>
        <v>292846</v>
      </c>
      <c r="F66" s="3">
        <f t="shared" si="2"/>
        <v>0.32544881098706191</v>
      </c>
      <c r="G66">
        <v>706</v>
      </c>
      <c r="H66">
        <f t="shared" ref="H66:H97" si="6">G66*B66</f>
        <v>1142308</v>
      </c>
      <c r="I66">
        <f t="shared" ref="I66:I97" si="7">IF(D66&lt;=488.5,
    IF(C66&lt;=550,
        IF(C66&lt;=402.5,
            2,
            IF(D66&lt;=350.5,2,0)
        ),
        0
    ),
    IF(D66&lt;=1798,
        IF(C66&lt;=205.5,
            2,
            0
        ),
        IF(C66&lt;=1502.5,
            1,
            3
        )
    )
)</f>
        <v>2</v>
      </c>
    </row>
    <row r="67" spans="1:9" x14ac:dyDescent="0.3">
      <c r="A67" t="s">
        <v>131</v>
      </c>
      <c r="B67">
        <v>5966</v>
      </c>
      <c r="C67">
        <v>1000</v>
      </c>
      <c r="D67">
        <v>41</v>
      </c>
      <c r="E67">
        <f t="shared" si="3"/>
        <v>298812</v>
      </c>
      <c r="F67" s="3">
        <f t="shared" ref="F67:F130" si="8">E67/SUM($B$2:$B$153)</f>
        <v>0.33207901118221161</v>
      </c>
      <c r="G67">
        <v>516</v>
      </c>
      <c r="H67">
        <f t="shared" si="6"/>
        <v>3078456</v>
      </c>
      <c r="I67">
        <f t="shared" si="7"/>
        <v>0</v>
      </c>
    </row>
    <row r="68" spans="1:9" x14ac:dyDescent="0.3">
      <c r="A68" t="s">
        <v>73</v>
      </c>
      <c r="B68">
        <v>2392</v>
      </c>
      <c r="C68">
        <v>400</v>
      </c>
      <c r="D68">
        <v>5</v>
      </c>
      <c r="E68">
        <f t="shared" ref="E68:E131" si="9">E67+B68</f>
        <v>301204</v>
      </c>
      <c r="F68" s="3">
        <f t="shared" si="8"/>
        <v>0.33473731471335444</v>
      </c>
      <c r="G68">
        <v>3981</v>
      </c>
      <c r="H68">
        <f t="shared" si="6"/>
        <v>9522552</v>
      </c>
      <c r="I68">
        <f t="shared" si="7"/>
        <v>2</v>
      </c>
    </row>
    <row r="69" spans="1:9" x14ac:dyDescent="0.3">
      <c r="A69" t="s">
        <v>147</v>
      </c>
      <c r="B69">
        <v>28064</v>
      </c>
      <c r="C69">
        <v>2500</v>
      </c>
      <c r="D69">
        <v>37</v>
      </c>
      <c r="E69">
        <f t="shared" si="9"/>
        <v>329268</v>
      </c>
      <c r="F69" s="3">
        <f t="shared" si="8"/>
        <v>0.36592570530616053</v>
      </c>
      <c r="G69">
        <v>516</v>
      </c>
      <c r="H69">
        <f t="shared" si="6"/>
        <v>14481024</v>
      </c>
      <c r="I69">
        <f t="shared" si="7"/>
        <v>0</v>
      </c>
    </row>
    <row r="70" spans="1:9" x14ac:dyDescent="0.3">
      <c r="A70" t="s">
        <v>125</v>
      </c>
      <c r="B70">
        <v>4123</v>
      </c>
      <c r="C70">
        <v>792</v>
      </c>
      <c r="D70">
        <v>36</v>
      </c>
      <c r="E70">
        <f t="shared" si="9"/>
        <v>333391</v>
      </c>
      <c r="F70" s="3">
        <f t="shared" si="8"/>
        <v>0.37050772263847737</v>
      </c>
      <c r="G70">
        <v>650</v>
      </c>
      <c r="H70">
        <f t="shared" si="6"/>
        <v>2679950</v>
      </c>
      <c r="I70">
        <f t="shared" si="7"/>
        <v>0</v>
      </c>
    </row>
    <row r="71" spans="1:9" x14ac:dyDescent="0.3">
      <c r="A71" t="s">
        <v>140</v>
      </c>
      <c r="B71">
        <v>11869</v>
      </c>
      <c r="C71">
        <v>2480</v>
      </c>
      <c r="D71">
        <v>36</v>
      </c>
      <c r="E71">
        <f t="shared" si="9"/>
        <v>345260</v>
      </c>
      <c r="F71" s="3">
        <f t="shared" si="8"/>
        <v>0.38369810918159369</v>
      </c>
      <c r="G71">
        <v>516</v>
      </c>
      <c r="H71">
        <f t="shared" si="6"/>
        <v>6124404</v>
      </c>
      <c r="I71">
        <f t="shared" si="7"/>
        <v>0</v>
      </c>
    </row>
    <row r="72" spans="1:9" x14ac:dyDescent="0.3">
      <c r="A72" t="s">
        <v>142</v>
      </c>
      <c r="B72">
        <v>18364</v>
      </c>
      <c r="C72">
        <v>11800</v>
      </c>
      <c r="D72">
        <v>35</v>
      </c>
      <c r="E72">
        <f t="shared" si="9"/>
        <v>363624</v>
      </c>
      <c r="F72" s="3">
        <f t="shared" si="8"/>
        <v>0.40410658997001631</v>
      </c>
      <c r="G72">
        <v>516</v>
      </c>
      <c r="H72">
        <f t="shared" si="6"/>
        <v>9475824</v>
      </c>
      <c r="I72">
        <f t="shared" si="7"/>
        <v>0</v>
      </c>
    </row>
    <row r="73" spans="1:9" x14ac:dyDescent="0.3">
      <c r="A73" t="s">
        <v>145</v>
      </c>
      <c r="B73">
        <v>25875</v>
      </c>
      <c r="C73">
        <v>2250</v>
      </c>
      <c r="D73">
        <v>35</v>
      </c>
      <c r="E73">
        <f t="shared" si="9"/>
        <v>389499</v>
      </c>
      <c r="F73" s="3">
        <f t="shared" si="8"/>
        <v>0.43286227720593629</v>
      </c>
      <c r="G73">
        <v>516</v>
      </c>
      <c r="H73">
        <f t="shared" si="6"/>
        <v>13351500</v>
      </c>
      <c r="I73">
        <f t="shared" si="7"/>
        <v>0</v>
      </c>
    </row>
    <row r="74" spans="1:9" x14ac:dyDescent="0.3">
      <c r="A74" t="s">
        <v>124</v>
      </c>
      <c r="B74">
        <v>4542</v>
      </c>
      <c r="C74">
        <v>866</v>
      </c>
      <c r="D74">
        <v>32</v>
      </c>
      <c r="E74">
        <f t="shared" si="9"/>
        <v>394041</v>
      </c>
      <c r="F74" s="3">
        <f t="shared" si="8"/>
        <v>0.43790994218856616</v>
      </c>
      <c r="G74">
        <v>319</v>
      </c>
      <c r="H74">
        <f t="shared" si="6"/>
        <v>1448898</v>
      </c>
      <c r="I74">
        <f t="shared" si="7"/>
        <v>0</v>
      </c>
    </row>
    <row r="75" spans="1:9" x14ac:dyDescent="0.3">
      <c r="A75" t="s">
        <v>80</v>
      </c>
      <c r="B75">
        <v>1814</v>
      </c>
      <c r="C75">
        <v>400</v>
      </c>
      <c r="D75">
        <v>8</v>
      </c>
      <c r="E75">
        <f t="shared" si="9"/>
        <v>395855</v>
      </c>
      <c r="F75" s="3">
        <f t="shared" si="8"/>
        <v>0.43992589645507668</v>
      </c>
      <c r="G75">
        <v>3981</v>
      </c>
      <c r="H75">
        <f t="shared" si="6"/>
        <v>7221534</v>
      </c>
      <c r="I75">
        <f t="shared" si="7"/>
        <v>2</v>
      </c>
    </row>
    <row r="76" spans="1:9" x14ac:dyDescent="0.3">
      <c r="A76" t="s">
        <v>129</v>
      </c>
      <c r="B76">
        <v>5588</v>
      </c>
      <c r="C76">
        <v>1900</v>
      </c>
      <c r="D76">
        <v>32</v>
      </c>
      <c r="E76">
        <f t="shared" si="9"/>
        <v>401443</v>
      </c>
      <c r="F76" s="3">
        <f t="shared" si="8"/>
        <v>0.44613601356712773</v>
      </c>
      <c r="G76">
        <v>516</v>
      </c>
      <c r="H76">
        <f t="shared" si="6"/>
        <v>2883408</v>
      </c>
      <c r="I76">
        <f t="shared" si="7"/>
        <v>0</v>
      </c>
    </row>
    <row r="77" spans="1:9" x14ac:dyDescent="0.3">
      <c r="A77" t="s">
        <v>134</v>
      </c>
      <c r="B77">
        <v>8281</v>
      </c>
      <c r="C77">
        <v>1700</v>
      </c>
      <c r="D77">
        <v>32</v>
      </c>
      <c r="E77">
        <f t="shared" si="9"/>
        <v>409724</v>
      </c>
      <c r="F77" s="3">
        <f t="shared" si="8"/>
        <v>0.45533894481352977</v>
      </c>
      <c r="G77">
        <v>516</v>
      </c>
      <c r="H77">
        <f t="shared" si="6"/>
        <v>4272996</v>
      </c>
      <c r="I77">
        <f t="shared" si="7"/>
        <v>0</v>
      </c>
    </row>
    <row r="78" spans="1:9" x14ac:dyDescent="0.3">
      <c r="A78" t="s">
        <v>148</v>
      </c>
      <c r="B78">
        <v>35018</v>
      </c>
      <c r="C78">
        <v>8172</v>
      </c>
      <c r="D78">
        <v>32</v>
      </c>
      <c r="E78">
        <f t="shared" si="9"/>
        <v>444742</v>
      </c>
      <c r="F78" s="3">
        <f t="shared" si="8"/>
        <v>0.49425553053826199</v>
      </c>
      <c r="G78">
        <v>516</v>
      </c>
      <c r="H78">
        <f t="shared" si="6"/>
        <v>18069288</v>
      </c>
      <c r="I78">
        <f t="shared" si="7"/>
        <v>0</v>
      </c>
    </row>
    <row r="79" spans="1:9" x14ac:dyDescent="0.3">
      <c r="A79" t="s">
        <v>84</v>
      </c>
      <c r="B79">
        <v>2874</v>
      </c>
      <c r="C79">
        <v>300</v>
      </c>
      <c r="D79">
        <v>6</v>
      </c>
      <c r="E79">
        <f t="shared" si="9"/>
        <v>447616</v>
      </c>
      <c r="F79" s="3">
        <f t="shared" si="8"/>
        <v>0.49744949556690099</v>
      </c>
      <c r="G79">
        <v>1016</v>
      </c>
      <c r="H79">
        <f t="shared" si="6"/>
        <v>2919984</v>
      </c>
      <c r="I79">
        <f t="shared" si="7"/>
        <v>2</v>
      </c>
    </row>
    <row r="80" spans="1:9" x14ac:dyDescent="0.3">
      <c r="A80" t="s">
        <v>133</v>
      </c>
      <c r="B80">
        <v>8142</v>
      </c>
      <c r="C80">
        <v>3600</v>
      </c>
      <c r="D80">
        <v>31</v>
      </c>
      <c r="E80">
        <f t="shared" si="9"/>
        <v>455758</v>
      </c>
      <c r="F80" s="3">
        <f t="shared" si="8"/>
        <v>0.50649795181713719</v>
      </c>
      <c r="G80">
        <v>516</v>
      </c>
      <c r="H80">
        <f t="shared" si="6"/>
        <v>4201272</v>
      </c>
      <c r="I80">
        <f t="shared" si="7"/>
        <v>0</v>
      </c>
    </row>
    <row r="81" spans="1:9" x14ac:dyDescent="0.3">
      <c r="A81" t="s">
        <v>86</v>
      </c>
      <c r="B81">
        <v>2405</v>
      </c>
      <c r="C81">
        <v>540</v>
      </c>
      <c r="D81">
        <v>8</v>
      </c>
      <c r="E81">
        <f t="shared" si="9"/>
        <v>458163</v>
      </c>
      <c r="F81" s="3">
        <f t="shared" si="8"/>
        <v>0.50917070265007969</v>
      </c>
      <c r="G81">
        <v>1057</v>
      </c>
      <c r="H81">
        <f t="shared" si="6"/>
        <v>2542085</v>
      </c>
      <c r="I81">
        <f t="shared" si="7"/>
        <v>2</v>
      </c>
    </row>
    <row r="82" spans="1:9" x14ac:dyDescent="0.3">
      <c r="A82" t="s">
        <v>136</v>
      </c>
      <c r="B82">
        <v>8810</v>
      </c>
      <c r="C82">
        <v>1700</v>
      </c>
      <c r="D82">
        <v>31</v>
      </c>
      <c r="E82">
        <f t="shared" si="9"/>
        <v>466973</v>
      </c>
      <c r="F82" s="3">
        <f t="shared" si="8"/>
        <v>0.5189615279466383</v>
      </c>
      <c r="G82">
        <v>516</v>
      </c>
      <c r="H82">
        <f t="shared" si="6"/>
        <v>4545960</v>
      </c>
      <c r="I82">
        <f t="shared" si="7"/>
        <v>0</v>
      </c>
    </row>
    <row r="83" spans="1:9" x14ac:dyDescent="0.3">
      <c r="A83" t="s">
        <v>150</v>
      </c>
      <c r="B83">
        <v>39237</v>
      </c>
      <c r="C83">
        <v>6810</v>
      </c>
      <c r="D83">
        <v>30</v>
      </c>
      <c r="E83">
        <f t="shared" si="9"/>
        <v>506210</v>
      </c>
      <c r="F83" s="3">
        <f t="shared" si="8"/>
        <v>0.5625668187708236</v>
      </c>
      <c r="G83">
        <v>516</v>
      </c>
      <c r="H83">
        <f t="shared" si="6"/>
        <v>20246292</v>
      </c>
      <c r="I83">
        <f t="shared" si="7"/>
        <v>0</v>
      </c>
    </row>
    <row r="84" spans="1:9" x14ac:dyDescent="0.3">
      <c r="A84" t="s">
        <v>128</v>
      </c>
      <c r="B84">
        <v>6705</v>
      </c>
      <c r="C84">
        <v>3250</v>
      </c>
      <c r="D84">
        <v>24</v>
      </c>
      <c r="E84">
        <f t="shared" si="9"/>
        <v>512915</v>
      </c>
      <c r="F84" s="3">
        <f t="shared" si="8"/>
        <v>0.57001829250674019</v>
      </c>
      <c r="G84">
        <v>516</v>
      </c>
      <c r="H84">
        <f t="shared" si="6"/>
        <v>3459780</v>
      </c>
      <c r="I84">
        <f t="shared" si="7"/>
        <v>0</v>
      </c>
    </row>
    <row r="85" spans="1:9" x14ac:dyDescent="0.3">
      <c r="A85" t="s">
        <v>122</v>
      </c>
      <c r="B85">
        <v>5367</v>
      </c>
      <c r="C85">
        <v>9800</v>
      </c>
      <c r="D85">
        <v>23</v>
      </c>
      <c r="E85">
        <f t="shared" si="9"/>
        <v>518282</v>
      </c>
      <c r="F85" s="3">
        <f t="shared" si="8"/>
        <v>0.57598280548819658</v>
      </c>
      <c r="G85">
        <v>516</v>
      </c>
      <c r="H85">
        <f t="shared" si="6"/>
        <v>2769372</v>
      </c>
      <c r="I85">
        <f t="shared" si="7"/>
        <v>0</v>
      </c>
    </row>
    <row r="86" spans="1:9" x14ac:dyDescent="0.3">
      <c r="A86" t="s">
        <v>91</v>
      </c>
      <c r="B86">
        <v>2420</v>
      </c>
      <c r="C86">
        <v>550</v>
      </c>
      <c r="D86">
        <v>10</v>
      </c>
      <c r="E86">
        <f t="shared" si="9"/>
        <v>520702</v>
      </c>
      <c r="F86" s="3">
        <f t="shared" si="8"/>
        <v>0.57867222628475412</v>
      </c>
      <c r="G86">
        <v>1057</v>
      </c>
      <c r="H86">
        <f t="shared" si="6"/>
        <v>2557940</v>
      </c>
      <c r="I86">
        <f t="shared" si="7"/>
        <v>2</v>
      </c>
    </row>
    <row r="87" spans="1:9" x14ac:dyDescent="0.3">
      <c r="A87" t="s">
        <v>141</v>
      </c>
      <c r="B87">
        <v>21989</v>
      </c>
      <c r="C87">
        <v>6356</v>
      </c>
      <c r="D87">
        <v>23</v>
      </c>
      <c r="E87">
        <f t="shared" si="9"/>
        <v>542691</v>
      </c>
      <c r="F87" s="3">
        <f t="shared" si="8"/>
        <v>0.60310928161347466</v>
      </c>
      <c r="G87">
        <v>516</v>
      </c>
      <c r="H87">
        <f t="shared" si="6"/>
        <v>11346324</v>
      </c>
      <c r="I87">
        <f t="shared" si="7"/>
        <v>0</v>
      </c>
    </row>
    <row r="88" spans="1:9" x14ac:dyDescent="0.3">
      <c r="A88" t="s">
        <v>127</v>
      </c>
      <c r="B88">
        <v>7200</v>
      </c>
      <c r="C88">
        <v>2700</v>
      </c>
      <c r="D88">
        <v>22</v>
      </c>
      <c r="E88">
        <f t="shared" si="9"/>
        <v>549891</v>
      </c>
      <c r="F88" s="3">
        <f t="shared" si="8"/>
        <v>0.61111086414868721</v>
      </c>
      <c r="G88">
        <v>516</v>
      </c>
      <c r="H88">
        <f t="shared" si="6"/>
        <v>3715200</v>
      </c>
      <c r="I88">
        <f t="shared" si="7"/>
        <v>0</v>
      </c>
    </row>
    <row r="89" spans="1:9" x14ac:dyDescent="0.3">
      <c r="A89" t="s">
        <v>130</v>
      </c>
      <c r="B89">
        <v>11555</v>
      </c>
      <c r="C89">
        <v>5940</v>
      </c>
      <c r="D89">
        <v>21</v>
      </c>
      <c r="E89">
        <f t="shared" si="9"/>
        <v>561446</v>
      </c>
      <c r="F89" s="3">
        <f t="shared" si="8"/>
        <v>0.62395229278679565</v>
      </c>
      <c r="G89">
        <v>516</v>
      </c>
      <c r="H89">
        <f t="shared" si="6"/>
        <v>5962380</v>
      </c>
      <c r="I89">
        <f t="shared" si="7"/>
        <v>0</v>
      </c>
    </row>
    <row r="90" spans="1:9" x14ac:dyDescent="0.3">
      <c r="A90" t="s">
        <v>95</v>
      </c>
      <c r="B90">
        <v>2028</v>
      </c>
      <c r="C90">
        <v>340</v>
      </c>
      <c r="D90">
        <v>13</v>
      </c>
      <c r="E90">
        <f t="shared" si="9"/>
        <v>563474</v>
      </c>
      <c r="F90" s="3">
        <f t="shared" si="8"/>
        <v>0.62620607186754718</v>
      </c>
      <c r="G90">
        <v>706</v>
      </c>
      <c r="H90">
        <f t="shared" si="6"/>
        <v>1431768</v>
      </c>
      <c r="I90">
        <f t="shared" si="7"/>
        <v>2</v>
      </c>
    </row>
    <row r="91" spans="1:9" x14ac:dyDescent="0.3">
      <c r="A91" t="s">
        <v>135</v>
      </c>
      <c r="B91">
        <v>13390</v>
      </c>
      <c r="C91">
        <v>3628</v>
      </c>
      <c r="D91">
        <v>20</v>
      </c>
      <c r="E91">
        <f t="shared" si="9"/>
        <v>576864</v>
      </c>
      <c r="F91" s="3">
        <f t="shared" si="8"/>
        <v>0.64108679272122704</v>
      </c>
      <c r="G91">
        <v>516</v>
      </c>
      <c r="H91">
        <f t="shared" si="6"/>
        <v>6909240</v>
      </c>
      <c r="I91">
        <f t="shared" si="7"/>
        <v>0</v>
      </c>
    </row>
    <row r="92" spans="1:9" x14ac:dyDescent="0.3">
      <c r="A92" t="s">
        <v>97</v>
      </c>
      <c r="B92">
        <v>2814</v>
      </c>
      <c r="C92">
        <v>550</v>
      </c>
      <c r="D92">
        <v>10</v>
      </c>
      <c r="E92">
        <f t="shared" si="9"/>
        <v>579678</v>
      </c>
      <c r="F92" s="3">
        <f t="shared" si="8"/>
        <v>0.64421407789540597</v>
      </c>
      <c r="G92">
        <v>1057</v>
      </c>
      <c r="H92">
        <f t="shared" si="6"/>
        <v>2974398</v>
      </c>
      <c r="I92">
        <f t="shared" si="7"/>
        <v>2</v>
      </c>
    </row>
    <row r="93" spans="1:9" x14ac:dyDescent="0.3">
      <c r="A93" t="s">
        <v>117</v>
      </c>
      <c r="B93">
        <v>4089</v>
      </c>
      <c r="C93">
        <v>1150</v>
      </c>
      <c r="D93">
        <v>19</v>
      </c>
      <c r="E93">
        <f t="shared" si="9"/>
        <v>583767</v>
      </c>
      <c r="F93" s="3">
        <f t="shared" si="8"/>
        <v>0.64875830997686212</v>
      </c>
      <c r="G93">
        <v>516</v>
      </c>
      <c r="H93">
        <f t="shared" si="6"/>
        <v>2109924</v>
      </c>
      <c r="I93">
        <f t="shared" si="7"/>
        <v>0</v>
      </c>
    </row>
    <row r="94" spans="1:9" x14ac:dyDescent="0.3">
      <c r="A94" t="s">
        <v>118</v>
      </c>
      <c r="B94">
        <v>4200</v>
      </c>
      <c r="C94">
        <v>1680</v>
      </c>
      <c r="D94">
        <v>19</v>
      </c>
      <c r="E94">
        <f t="shared" si="9"/>
        <v>587967</v>
      </c>
      <c r="F94" s="3">
        <f t="shared" si="8"/>
        <v>0.6534258997890694</v>
      </c>
      <c r="G94">
        <v>516</v>
      </c>
      <c r="H94">
        <f t="shared" si="6"/>
        <v>2167200</v>
      </c>
      <c r="I94">
        <f t="shared" si="7"/>
        <v>0</v>
      </c>
    </row>
    <row r="95" spans="1:9" x14ac:dyDescent="0.3">
      <c r="A95" t="s">
        <v>120</v>
      </c>
      <c r="B95">
        <v>4670</v>
      </c>
      <c r="C95">
        <v>1660</v>
      </c>
      <c r="D95">
        <v>19</v>
      </c>
      <c r="E95">
        <f t="shared" si="9"/>
        <v>592637</v>
      </c>
      <c r="F95" s="3">
        <f t="shared" si="8"/>
        <v>0.65861581512788081</v>
      </c>
      <c r="G95">
        <v>516</v>
      </c>
      <c r="H95">
        <f t="shared" si="6"/>
        <v>2409720</v>
      </c>
      <c r="I95">
        <f t="shared" si="7"/>
        <v>0</v>
      </c>
    </row>
    <row r="96" spans="1:9" x14ac:dyDescent="0.3">
      <c r="A96" t="s">
        <v>101</v>
      </c>
      <c r="B96">
        <v>1716</v>
      </c>
      <c r="C96">
        <v>440</v>
      </c>
      <c r="D96">
        <v>20</v>
      </c>
      <c r="E96">
        <f t="shared" si="9"/>
        <v>594353</v>
      </c>
      <c r="F96" s="3">
        <f t="shared" si="8"/>
        <v>0.66052285896543983</v>
      </c>
      <c r="G96">
        <v>4178</v>
      </c>
      <c r="H96">
        <f t="shared" si="6"/>
        <v>7169448</v>
      </c>
      <c r="I96">
        <f t="shared" si="7"/>
        <v>2</v>
      </c>
    </row>
    <row r="97" spans="1:9" x14ac:dyDescent="0.3">
      <c r="A97" t="s">
        <v>121</v>
      </c>
      <c r="B97">
        <v>5280</v>
      </c>
      <c r="C97">
        <v>1815</v>
      </c>
      <c r="D97">
        <v>19</v>
      </c>
      <c r="E97">
        <f t="shared" si="9"/>
        <v>599633</v>
      </c>
      <c r="F97" s="3">
        <f t="shared" si="8"/>
        <v>0.66639068615792896</v>
      </c>
      <c r="G97">
        <v>516</v>
      </c>
      <c r="H97">
        <f t="shared" si="6"/>
        <v>2724480</v>
      </c>
      <c r="I97">
        <f t="shared" si="7"/>
        <v>0</v>
      </c>
    </row>
    <row r="98" spans="1:9" x14ac:dyDescent="0.3">
      <c r="A98" t="s">
        <v>138</v>
      </c>
      <c r="B98">
        <v>19801</v>
      </c>
      <c r="C98">
        <v>4540</v>
      </c>
      <c r="D98">
        <v>19</v>
      </c>
      <c r="E98">
        <f t="shared" si="9"/>
        <v>619434</v>
      </c>
      <c r="F98" s="3">
        <f t="shared" si="8"/>
        <v>0.68839614946067107</v>
      </c>
      <c r="G98">
        <v>516</v>
      </c>
      <c r="H98">
        <f t="shared" ref="H98:H129" si="10">G98*B98</f>
        <v>10217316</v>
      </c>
      <c r="I98">
        <f t="shared" ref="I98:I129" si="11">IF(D98&lt;=488.5,
    IF(C98&lt;=550,
        IF(C98&lt;=402.5,
            2,
            IF(D98&lt;=350.5,2,0)
        ),
        0
    ),
    IF(D98&lt;=1798,
        IF(C98&lt;=205.5,
            2,
            0
        ),
        IF(C98&lt;=1502.5,
            1,
            3
        )
    )
)</f>
        <v>0</v>
      </c>
    </row>
    <row r="99" spans="1:9" x14ac:dyDescent="0.3">
      <c r="A99" t="s">
        <v>143</v>
      </c>
      <c r="B99">
        <v>35000</v>
      </c>
      <c r="C99">
        <v>4540</v>
      </c>
      <c r="D99">
        <v>19</v>
      </c>
      <c r="E99">
        <f t="shared" si="9"/>
        <v>654434</v>
      </c>
      <c r="F99" s="3">
        <f t="shared" si="8"/>
        <v>0.72729273122906535</v>
      </c>
      <c r="G99">
        <v>516</v>
      </c>
      <c r="H99">
        <f t="shared" si="10"/>
        <v>18060000</v>
      </c>
      <c r="I99">
        <f t="shared" si="11"/>
        <v>0</v>
      </c>
    </row>
    <row r="100" spans="1:9" x14ac:dyDescent="0.3">
      <c r="A100" t="s">
        <v>113</v>
      </c>
      <c r="B100">
        <v>3888</v>
      </c>
      <c r="C100">
        <v>3859</v>
      </c>
      <c r="D100">
        <v>17</v>
      </c>
      <c r="E100">
        <f t="shared" si="9"/>
        <v>658322</v>
      </c>
      <c r="F100" s="3">
        <f t="shared" si="8"/>
        <v>0.73161358579808011</v>
      </c>
      <c r="G100">
        <v>516</v>
      </c>
      <c r="H100">
        <f t="shared" si="10"/>
        <v>2006208</v>
      </c>
      <c r="I100">
        <f t="shared" si="11"/>
        <v>0</v>
      </c>
    </row>
    <row r="101" spans="1:9" x14ac:dyDescent="0.3">
      <c r="A101" t="s">
        <v>114</v>
      </c>
      <c r="B101">
        <v>4171</v>
      </c>
      <c r="C101">
        <v>900</v>
      </c>
      <c r="D101">
        <v>17</v>
      </c>
      <c r="E101">
        <f t="shared" si="9"/>
        <v>662493</v>
      </c>
      <c r="F101" s="3">
        <f t="shared" si="8"/>
        <v>0.73624894701396504</v>
      </c>
      <c r="G101">
        <v>319</v>
      </c>
      <c r="H101">
        <f t="shared" si="10"/>
        <v>1330549</v>
      </c>
      <c r="I101">
        <f t="shared" si="11"/>
        <v>0</v>
      </c>
    </row>
    <row r="102" spans="1:9" x14ac:dyDescent="0.3">
      <c r="A102" t="s">
        <v>137</v>
      </c>
      <c r="B102">
        <v>19983</v>
      </c>
      <c r="C102">
        <v>4540</v>
      </c>
      <c r="D102">
        <v>17</v>
      </c>
      <c r="E102">
        <f t="shared" si="9"/>
        <v>682476</v>
      </c>
      <c r="F102" s="3">
        <f t="shared" si="8"/>
        <v>0.75845667254190274</v>
      </c>
      <c r="G102">
        <v>516</v>
      </c>
      <c r="H102">
        <f t="shared" si="10"/>
        <v>10311228</v>
      </c>
      <c r="I102">
        <f t="shared" si="11"/>
        <v>0</v>
      </c>
    </row>
    <row r="103" spans="1:9" x14ac:dyDescent="0.3">
      <c r="A103" t="s">
        <v>104</v>
      </c>
      <c r="B103">
        <v>2550</v>
      </c>
      <c r="C103">
        <v>850</v>
      </c>
      <c r="D103">
        <v>16</v>
      </c>
      <c r="E103">
        <f t="shared" si="9"/>
        <v>685026</v>
      </c>
      <c r="F103" s="3">
        <f t="shared" si="8"/>
        <v>0.7612905663564572</v>
      </c>
      <c r="G103">
        <v>319</v>
      </c>
      <c r="H103">
        <f t="shared" si="10"/>
        <v>813450</v>
      </c>
      <c r="I103">
        <f t="shared" si="11"/>
        <v>0</v>
      </c>
    </row>
    <row r="104" spans="1:9" x14ac:dyDescent="0.3">
      <c r="A104" t="s">
        <v>116</v>
      </c>
      <c r="B104">
        <v>4449</v>
      </c>
      <c r="C104">
        <v>1000</v>
      </c>
      <c r="D104">
        <v>16</v>
      </c>
      <c r="E104">
        <f t="shared" si="9"/>
        <v>689475</v>
      </c>
      <c r="F104" s="3">
        <f t="shared" si="8"/>
        <v>0.7662348775646739</v>
      </c>
      <c r="G104">
        <v>516</v>
      </c>
      <c r="H104">
        <f t="shared" si="10"/>
        <v>2295684</v>
      </c>
      <c r="I104">
        <f t="shared" si="11"/>
        <v>0</v>
      </c>
    </row>
    <row r="105" spans="1:9" x14ac:dyDescent="0.3">
      <c r="A105" t="s">
        <v>123</v>
      </c>
      <c r="B105">
        <v>8396</v>
      </c>
      <c r="C105">
        <v>2000</v>
      </c>
      <c r="D105">
        <v>16</v>
      </c>
      <c r="E105">
        <f t="shared" si="9"/>
        <v>697871</v>
      </c>
      <c r="F105" s="3">
        <f t="shared" si="8"/>
        <v>0.7755656118654578</v>
      </c>
      <c r="G105">
        <v>516</v>
      </c>
      <c r="H105">
        <f t="shared" si="10"/>
        <v>4332336</v>
      </c>
      <c r="I105">
        <f t="shared" si="11"/>
        <v>0</v>
      </c>
    </row>
    <row r="106" spans="1:9" x14ac:dyDescent="0.3">
      <c r="A106" t="s">
        <v>126</v>
      </c>
      <c r="B106">
        <v>9781</v>
      </c>
      <c r="C106">
        <v>2350</v>
      </c>
      <c r="D106">
        <v>16</v>
      </c>
      <c r="E106">
        <f t="shared" si="9"/>
        <v>707652</v>
      </c>
      <c r="F106" s="3">
        <f t="shared" si="8"/>
        <v>0.78643553947336253</v>
      </c>
      <c r="G106">
        <v>516</v>
      </c>
      <c r="H106">
        <f t="shared" si="10"/>
        <v>5046996</v>
      </c>
      <c r="I106">
        <f t="shared" si="11"/>
        <v>0</v>
      </c>
    </row>
    <row r="107" spans="1:9" x14ac:dyDescent="0.3">
      <c r="A107" t="s">
        <v>112</v>
      </c>
      <c r="B107">
        <v>3109</v>
      </c>
      <c r="C107">
        <v>520</v>
      </c>
      <c r="D107">
        <v>20</v>
      </c>
      <c r="E107">
        <f t="shared" si="9"/>
        <v>710761</v>
      </c>
      <c r="F107" s="3">
        <f t="shared" si="8"/>
        <v>0.78989066726530355</v>
      </c>
      <c r="G107">
        <v>1057</v>
      </c>
      <c r="H107">
        <f t="shared" si="10"/>
        <v>3286213</v>
      </c>
      <c r="I107">
        <f t="shared" si="11"/>
        <v>2</v>
      </c>
    </row>
    <row r="108" spans="1:9" x14ac:dyDescent="0.3">
      <c r="A108" t="s">
        <v>103</v>
      </c>
      <c r="B108">
        <v>2463</v>
      </c>
      <c r="C108">
        <v>750</v>
      </c>
      <c r="D108">
        <v>15</v>
      </c>
      <c r="E108">
        <f t="shared" si="9"/>
        <v>713224</v>
      </c>
      <c r="F108" s="3">
        <f t="shared" si="8"/>
        <v>0.79262787529089085</v>
      </c>
      <c r="G108">
        <v>650</v>
      </c>
      <c r="H108">
        <f t="shared" si="10"/>
        <v>1600950</v>
      </c>
      <c r="I108">
        <f t="shared" si="11"/>
        <v>0</v>
      </c>
    </row>
    <row r="109" spans="1:9" x14ac:dyDescent="0.3">
      <c r="A109" t="s">
        <v>110</v>
      </c>
      <c r="B109">
        <v>3489</v>
      </c>
      <c r="C109">
        <v>800</v>
      </c>
      <c r="D109">
        <v>15</v>
      </c>
      <c r="E109">
        <f t="shared" si="9"/>
        <v>716713</v>
      </c>
      <c r="F109" s="3">
        <f t="shared" si="8"/>
        <v>0.79650530882774595</v>
      </c>
      <c r="G109">
        <v>650</v>
      </c>
      <c r="H109">
        <f t="shared" si="10"/>
        <v>2267850</v>
      </c>
      <c r="I109">
        <f t="shared" si="11"/>
        <v>0</v>
      </c>
    </row>
    <row r="110" spans="1:9" x14ac:dyDescent="0.3">
      <c r="A110" t="s">
        <v>119</v>
      </c>
      <c r="B110">
        <v>5500</v>
      </c>
      <c r="C110">
        <v>1250</v>
      </c>
      <c r="D110">
        <v>15</v>
      </c>
      <c r="E110">
        <f t="shared" si="9"/>
        <v>722213</v>
      </c>
      <c r="F110" s="3">
        <f t="shared" si="8"/>
        <v>0.80261762881992216</v>
      </c>
      <c r="G110">
        <v>516</v>
      </c>
      <c r="H110">
        <f t="shared" si="10"/>
        <v>2838000</v>
      </c>
      <c r="I110">
        <f t="shared" si="11"/>
        <v>0</v>
      </c>
    </row>
    <row r="111" spans="1:9" x14ac:dyDescent="0.3">
      <c r="A111" t="s">
        <v>115</v>
      </c>
      <c r="B111">
        <v>5920</v>
      </c>
      <c r="C111">
        <v>2220</v>
      </c>
      <c r="D111">
        <v>12</v>
      </c>
      <c r="E111">
        <f t="shared" si="9"/>
        <v>728133</v>
      </c>
      <c r="F111" s="3">
        <f t="shared" si="8"/>
        <v>0.80919670779331909</v>
      </c>
      <c r="G111">
        <v>516</v>
      </c>
      <c r="H111">
        <f t="shared" si="10"/>
        <v>3054720</v>
      </c>
      <c r="I111">
        <f t="shared" si="11"/>
        <v>0</v>
      </c>
    </row>
    <row r="112" spans="1:9" x14ac:dyDescent="0.3">
      <c r="A112" t="s">
        <v>94</v>
      </c>
      <c r="B112">
        <v>2306</v>
      </c>
      <c r="C112">
        <v>650</v>
      </c>
      <c r="D112">
        <v>11</v>
      </c>
      <c r="E112">
        <f t="shared" si="9"/>
        <v>730439</v>
      </c>
      <c r="F112" s="3">
        <f t="shared" si="8"/>
        <v>0.81175943686640251</v>
      </c>
      <c r="G112">
        <v>1057</v>
      </c>
      <c r="H112">
        <f t="shared" si="10"/>
        <v>2437442</v>
      </c>
      <c r="I112">
        <f t="shared" si="11"/>
        <v>0</v>
      </c>
    </row>
    <row r="113" spans="1:9" x14ac:dyDescent="0.3">
      <c r="A113" t="s">
        <v>98</v>
      </c>
      <c r="B113">
        <v>2640</v>
      </c>
      <c r="C113">
        <v>600</v>
      </c>
      <c r="D113">
        <v>11</v>
      </c>
      <c r="E113">
        <f t="shared" si="9"/>
        <v>733079</v>
      </c>
      <c r="F113" s="3">
        <f t="shared" si="8"/>
        <v>0.81469335046264701</v>
      </c>
      <c r="G113">
        <v>1057</v>
      </c>
      <c r="H113">
        <f t="shared" si="10"/>
        <v>2790480</v>
      </c>
      <c r="I113">
        <f t="shared" si="11"/>
        <v>0</v>
      </c>
    </row>
    <row r="114" spans="1:9" x14ac:dyDescent="0.3">
      <c r="A114" t="s">
        <v>108</v>
      </c>
      <c r="B114">
        <v>4335</v>
      </c>
      <c r="C114">
        <v>1820</v>
      </c>
      <c r="D114">
        <v>11</v>
      </c>
      <c r="E114">
        <f t="shared" si="9"/>
        <v>737414</v>
      </c>
      <c r="F114" s="3">
        <f t="shared" si="8"/>
        <v>0.81951096994738959</v>
      </c>
      <c r="G114">
        <v>516</v>
      </c>
      <c r="H114">
        <f t="shared" si="10"/>
        <v>2236860</v>
      </c>
      <c r="I114">
        <f t="shared" si="11"/>
        <v>0</v>
      </c>
    </row>
    <row r="115" spans="1:9" x14ac:dyDescent="0.3">
      <c r="A115" t="s">
        <v>88</v>
      </c>
      <c r="B115">
        <v>2100</v>
      </c>
      <c r="C115">
        <v>672</v>
      </c>
      <c r="D115">
        <v>10</v>
      </c>
      <c r="E115">
        <f t="shared" si="9"/>
        <v>739514</v>
      </c>
      <c r="F115" s="3">
        <f t="shared" si="8"/>
        <v>0.82184476485349323</v>
      </c>
      <c r="G115">
        <v>1057</v>
      </c>
      <c r="H115">
        <f t="shared" si="10"/>
        <v>2219700</v>
      </c>
      <c r="I115">
        <f t="shared" si="11"/>
        <v>0</v>
      </c>
    </row>
    <row r="116" spans="1:9" x14ac:dyDescent="0.3">
      <c r="A116" t="s">
        <v>106</v>
      </c>
      <c r="B116">
        <v>4321</v>
      </c>
      <c r="C116">
        <v>2175</v>
      </c>
      <c r="D116">
        <v>10</v>
      </c>
      <c r="E116">
        <f t="shared" si="9"/>
        <v>743835</v>
      </c>
      <c r="F116" s="3">
        <f t="shared" si="8"/>
        <v>0.82664682570552839</v>
      </c>
      <c r="G116">
        <v>516</v>
      </c>
      <c r="H116">
        <f t="shared" si="10"/>
        <v>2229636</v>
      </c>
      <c r="I116">
        <f t="shared" si="11"/>
        <v>0</v>
      </c>
    </row>
    <row r="117" spans="1:9" x14ac:dyDescent="0.3">
      <c r="A117" t="s">
        <v>132</v>
      </c>
      <c r="B117">
        <v>24600</v>
      </c>
      <c r="C117">
        <v>2270</v>
      </c>
      <c r="D117">
        <v>10</v>
      </c>
      <c r="E117">
        <f t="shared" si="9"/>
        <v>768435</v>
      </c>
      <c r="F117" s="3">
        <f t="shared" si="8"/>
        <v>0.8539855660341712</v>
      </c>
      <c r="G117">
        <v>516</v>
      </c>
      <c r="H117">
        <f t="shared" si="10"/>
        <v>12693600</v>
      </c>
      <c r="I117">
        <f t="shared" si="11"/>
        <v>0</v>
      </c>
    </row>
    <row r="118" spans="1:9" x14ac:dyDescent="0.3">
      <c r="A118" t="s">
        <v>111</v>
      </c>
      <c r="B118">
        <v>6244</v>
      </c>
      <c r="C118">
        <v>2270</v>
      </c>
      <c r="D118">
        <v>9</v>
      </c>
      <c r="E118">
        <f t="shared" si="9"/>
        <v>774679</v>
      </c>
      <c r="F118" s="3">
        <f t="shared" si="8"/>
        <v>0.86092471622165267</v>
      </c>
      <c r="G118">
        <v>516</v>
      </c>
      <c r="H118">
        <f t="shared" si="10"/>
        <v>3221904</v>
      </c>
      <c r="I118">
        <f t="shared" si="11"/>
        <v>0</v>
      </c>
    </row>
    <row r="119" spans="1:9" x14ac:dyDescent="0.3">
      <c r="A119" t="s">
        <v>85</v>
      </c>
      <c r="B119">
        <v>2200</v>
      </c>
      <c r="C119">
        <v>770</v>
      </c>
      <c r="D119">
        <v>8</v>
      </c>
      <c r="E119">
        <f t="shared" si="9"/>
        <v>776879</v>
      </c>
      <c r="F119" s="3">
        <f t="shared" si="8"/>
        <v>0.86336964421852325</v>
      </c>
      <c r="G119">
        <v>650</v>
      </c>
      <c r="H119">
        <f t="shared" si="10"/>
        <v>1430000</v>
      </c>
      <c r="I119">
        <f t="shared" si="11"/>
        <v>0</v>
      </c>
    </row>
    <row r="120" spans="1:9" x14ac:dyDescent="0.3">
      <c r="A120" t="s">
        <v>96</v>
      </c>
      <c r="B120">
        <v>3490</v>
      </c>
      <c r="C120">
        <v>1210</v>
      </c>
      <c r="D120">
        <v>8</v>
      </c>
      <c r="E120">
        <f t="shared" si="9"/>
        <v>780369</v>
      </c>
      <c r="F120" s="3">
        <f t="shared" si="8"/>
        <v>0.86724818908628598</v>
      </c>
      <c r="G120">
        <v>516</v>
      </c>
      <c r="H120">
        <f t="shared" si="10"/>
        <v>1800840</v>
      </c>
      <c r="I120">
        <f t="shared" si="11"/>
        <v>0</v>
      </c>
    </row>
    <row r="121" spans="1:9" x14ac:dyDescent="0.3">
      <c r="A121" t="s">
        <v>100</v>
      </c>
      <c r="B121">
        <v>4284</v>
      </c>
      <c r="C121">
        <v>1750</v>
      </c>
      <c r="D121">
        <v>8</v>
      </c>
      <c r="E121">
        <f t="shared" si="9"/>
        <v>784653</v>
      </c>
      <c r="F121" s="3">
        <f t="shared" si="8"/>
        <v>0.8720091306947374</v>
      </c>
      <c r="G121">
        <v>516</v>
      </c>
      <c r="H121">
        <f t="shared" si="10"/>
        <v>2210544</v>
      </c>
      <c r="I121">
        <f t="shared" si="11"/>
        <v>0</v>
      </c>
    </row>
    <row r="122" spans="1:9" x14ac:dyDescent="0.3">
      <c r="A122" t="s">
        <v>107</v>
      </c>
      <c r="B122">
        <v>5592</v>
      </c>
      <c r="C122">
        <v>3600</v>
      </c>
      <c r="D122">
        <v>8</v>
      </c>
      <c r="E122">
        <f t="shared" si="9"/>
        <v>790245</v>
      </c>
      <c r="F122" s="3">
        <f t="shared" si="8"/>
        <v>0.87822369313041915</v>
      </c>
      <c r="G122">
        <v>516</v>
      </c>
      <c r="H122">
        <f t="shared" si="10"/>
        <v>2885472</v>
      </c>
      <c r="I122">
        <f t="shared" si="11"/>
        <v>0</v>
      </c>
    </row>
    <row r="123" spans="1:9" x14ac:dyDescent="0.3">
      <c r="A123" t="s">
        <v>109</v>
      </c>
      <c r="B123">
        <v>6362</v>
      </c>
      <c r="C123">
        <v>2240</v>
      </c>
      <c r="D123">
        <v>8</v>
      </c>
      <c r="E123">
        <f t="shared" si="9"/>
        <v>796607</v>
      </c>
      <c r="F123" s="3">
        <f t="shared" si="8"/>
        <v>0.88529398036500551</v>
      </c>
      <c r="G123">
        <v>516</v>
      </c>
      <c r="H123">
        <f t="shared" si="10"/>
        <v>3282792</v>
      </c>
      <c r="I123">
        <f t="shared" si="11"/>
        <v>0</v>
      </c>
    </row>
    <row r="124" spans="1:9" x14ac:dyDescent="0.3">
      <c r="A124" t="s">
        <v>72</v>
      </c>
      <c r="B124">
        <v>1673</v>
      </c>
      <c r="C124">
        <v>1589</v>
      </c>
      <c r="D124">
        <v>7</v>
      </c>
      <c r="E124">
        <f t="shared" si="9"/>
        <v>798280</v>
      </c>
      <c r="F124" s="3">
        <f t="shared" si="8"/>
        <v>0.88715323697353476</v>
      </c>
      <c r="G124">
        <v>516</v>
      </c>
      <c r="H124">
        <f t="shared" si="10"/>
        <v>863268</v>
      </c>
      <c r="I124">
        <f t="shared" si="11"/>
        <v>0</v>
      </c>
    </row>
    <row r="125" spans="1:9" x14ac:dyDescent="0.3">
      <c r="A125" t="s">
        <v>75</v>
      </c>
      <c r="B125">
        <v>1750</v>
      </c>
      <c r="C125">
        <v>840</v>
      </c>
      <c r="D125">
        <v>7</v>
      </c>
      <c r="E125">
        <f t="shared" si="9"/>
        <v>800030</v>
      </c>
      <c r="F125" s="3">
        <f t="shared" si="8"/>
        <v>0.88909806606195452</v>
      </c>
      <c r="G125">
        <v>650</v>
      </c>
      <c r="H125">
        <f t="shared" si="10"/>
        <v>1137500</v>
      </c>
      <c r="I125">
        <f t="shared" si="11"/>
        <v>0</v>
      </c>
    </row>
    <row r="126" spans="1:9" x14ac:dyDescent="0.3">
      <c r="A126" t="s">
        <v>81</v>
      </c>
      <c r="B126">
        <v>2132</v>
      </c>
      <c r="C126">
        <v>770</v>
      </c>
      <c r="D126">
        <v>7</v>
      </c>
      <c r="E126">
        <f t="shared" si="9"/>
        <v>802162</v>
      </c>
      <c r="F126" s="3">
        <f t="shared" si="8"/>
        <v>0.89146742355710351</v>
      </c>
      <c r="G126">
        <v>650</v>
      </c>
      <c r="H126">
        <f t="shared" si="10"/>
        <v>1385800</v>
      </c>
      <c r="I126">
        <f t="shared" si="11"/>
        <v>0</v>
      </c>
    </row>
    <row r="127" spans="1:9" x14ac:dyDescent="0.3">
      <c r="A127" t="s">
        <v>83</v>
      </c>
      <c r="B127">
        <v>2250</v>
      </c>
      <c r="C127">
        <v>720</v>
      </c>
      <c r="D127">
        <v>7</v>
      </c>
      <c r="E127">
        <f t="shared" si="9"/>
        <v>804412</v>
      </c>
      <c r="F127" s="3">
        <f t="shared" si="8"/>
        <v>0.89396791809935738</v>
      </c>
      <c r="G127">
        <v>650</v>
      </c>
      <c r="H127">
        <f t="shared" si="10"/>
        <v>1462500</v>
      </c>
      <c r="I127">
        <f t="shared" si="11"/>
        <v>0</v>
      </c>
    </row>
    <row r="128" spans="1:9" x14ac:dyDescent="0.3">
      <c r="A128" t="s">
        <v>99</v>
      </c>
      <c r="B128">
        <v>4299</v>
      </c>
      <c r="C128">
        <v>1300</v>
      </c>
      <c r="D128">
        <v>7</v>
      </c>
      <c r="E128">
        <f t="shared" si="9"/>
        <v>808711</v>
      </c>
      <c r="F128" s="3">
        <f t="shared" si="8"/>
        <v>0.89874552967142385</v>
      </c>
      <c r="G128">
        <v>516</v>
      </c>
      <c r="H128">
        <f t="shared" si="10"/>
        <v>2218284</v>
      </c>
      <c r="I128">
        <f t="shared" si="11"/>
        <v>0</v>
      </c>
    </row>
    <row r="129" spans="1:9" x14ac:dyDescent="0.3">
      <c r="A129" t="s">
        <v>69</v>
      </c>
      <c r="B129">
        <v>1683</v>
      </c>
      <c r="C129">
        <v>3000</v>
      </c>
      <c r="D129">
        <v>6</v>
      </c>
      <c r="E129">
        <f t="shared" si="9"/>
        <v>810394</v>
      </c>
      <c r="F129" s="3">
        <f t="shared" si="8"/>
        <v>0.90061589958902988</v>
      </c>
      <c r="G129">
        <v>516</v>
      </c>
      <c r="H129">
        <f t="shared" si="10"/>
        <v>868428</v>
      </c>
      <c r="I129">
        <f t="shared" si="11"/>
        <v>0</v>
      </c>
    </row>
    <row r="130" spans="1:9" x14ac:dyDescent="0.3">
      <c r="A130" t="s">
        <v>76</v>
      </c>
      <c r="B130">
        <v>2100</v>
      </c>
      <c r="C130">
        <v>750</v>
      </c>
      <c r="D130">
        <v>6</v>
      </c>
      <c r="E130">
        <f t="shared" si="9"/>
        <v>812494</v>
      </c>
      <c r="F130" s="3">
        <f t="shared" si="8"/>
        <v>0.90294969449513351</v>
      </c>
      <c r="G130">
        <v>650</v>
      </c>
      <c r="H130">
        <f t="shared" ref="H130:H161" si="12">G130*B130</f>
        <v>1365000</v>
      </c>
      <c r="I130">
        <f t="shared" ref="I130:I153" si="13">IF(D130&lt;=488.5,
    IF(C130&lt;=550,
        IF(C130&lt;=402.5,
            2,
            IF(D130&lt;=350.5,2,0)
        ),
        0
    ),
    IF(D130&lt;=1798,
        IF(C130&lt;=205.5,
            2,
            0
        ),
        IF(C130&lt;=1502.5,
            1,
            3
        )
    )
)</f>
        <v>0</v>
      </c>
    </row>
    <row r="131" spans="1:9" x14ac:dyDescent="0.3">
      <c r="A131" t="s">
        <v>79</v>
      </c>
      <c r="B131">
        <v>2349</v>
      </c>
      <c r="C131">
        <v>700</v>
      </c>
      <c r="D131">
        <v>6</v>
      </c>
      <c r="E131">
        <f t="shared" si="9"/>
        <v>814843</v>
      </c>
      <c r="F131" s="3">
        <f t="shared" ref="F131:F153" si="14">E131/SUM($B$2:$B$153)</f>
        <v>0.90556021079724658</v>
      </c>
      <c r="G131">
        <v>650</v>
      </c>
      <c r="H131">
        <f t="shared" si="12"/>
        <v>1526850</v>
      </c>
      <c r="I131">
        <f t="shared" si="13"/>
        <v>0</v>
      </c>
    </row>
    <row r="132" spans="1:9" x14ac:dyDescent="0.3">
      <c r="A132" t="s">
        <v>90</v>
      </c>
      <c r="B132">
        <v>3960</v>
      </c>
      <c r="C132">
        <v>1320</v>
      </c>
      <c r="D132">
        <v>6</v>
      </c>
      <c r="E132">
        <f t="shared" ref="E132:E153" si="15">E131+B132</f>
        <v>818803</v>
      </c>
      <c r="F132" s="3">
        <f t="shared" si="14"/>
        <v>0.90996108119161345</v>
      </c>
      <c r="G132">
        <v>516</v>
      </c>
      <c r="H132">
        <f t="shared" si="12"/>
        <v>2043360</v>
      </c>
      <c r="I132">
        <f t="shared" si="13"/>
        <v>0</v>
      </c>
    </row>
    <row r="133" spans="1:9" x14ac:dyDescent="0.3">
      <c r="A133" t="s">
        <v>93</v>
      </c>
      <c r="B133">
        <v>4194</v>
      </c>
      <c r="C133">
        <v>900</v>
      </c>
      <c r="D133">
        <v>6</v>
      </c>
      <c r="E133">
        <f t="shared" si="15"/>
        <v>822997</v>
      </c>
      <c r="F133" s="3">
        <f t="shared" si="14"/>
        <v>0.91462200301837471</v>
      </c>
      <c r="G133">
        <v>319</v>
      </c>
      <c r="H133">
        <f t="shared" si="12"/>
        <v>1337886</v>
      </c>
      <c r="I133">
        <f t="shared" si="13"/>
        <v>0</v>
      </c>
    </row>
    <row r="134" spans="1:9" x14ac:dyDescent="0.3">
      <c r="A134" t="s">
        <v>139</v>
      </c>
      <c r="B134">
        <v>19141</v>
      </c>
      <c r="C134">
        <v>160</v>
      </c>
      <c r="D134">
        <v>20</v>
      </c>
      <c r="E134">
        <f t="shared" si="15"/>
        <v>842138</v>
      </c>
      <c r="F134" s="3">
        <f t="shared" si="14"/>
        <v>0.93589398792205569</v>
      </c>
      <c r="G134">
        <v>736</v>
      </c>
      <c r="H134">
        <f t="shared" si="12"/>
        <v>14087776</v>
      </c>
      <c r="I134">
        <f t="shared" si="13"/>
        <v>2</v>
      </c>
    </row>
    <row r="135" spans="1:9" x14ac:dyDescent="0.3">
      <c r="A135" t="s">
        <v>102</v>
      </c>
      <c r="B135">
        <v>6150</v>
      </c>
      <c r="C135">
        <v>1362</v>
      </c>
      <c r="D135">
        <v>6</v>
      </c>
      <c r="E135">
        <f t="shared" si="15"/>
        <v>848288</v>
      </c>
      <c r="F135" s="3">
        <f t="shared" si="14"/>
        <v>0.94272867300421637</v>
      </c>
      <c r="G135">
        <v>516</v>
      </c>
      <c r="H135">
        <f t="shared" si="12"/>
        <v>3173400</v>
      </c>
      <c r="I135">
        <f t="shared" si="13"/>
        <v>0</v>
      </c>
    </row>
    <row r="136" spans="1:9" x14ac:dyDescent="0.3">
      <c r="A136" t="s">
        <v>105</v>
      </c>
      <c r="B136">
        <v>7200</v>
      </c>
      <c r="C136">
        <v>7500</v>
      </c>
      <c r="D136">
        <v>6</v>
      </c>
      <c r="E136">
        <f t="shared" si="15"/>
        <v>855488</v>
      </c>
      <c r="F136" s="3">
        <f t="shared" si="14"/>
        <v>0.95073025553942891</v>
      </c>
      <c r="G136">
        <v>516</v>
      </c>
      <c r="H136">
        <f t="shared" si="12"/>
        <v>3715200</v>
      </c>
      <c r="I136">
        <f t="shared" si="13"/>
        <v>0</v>
      </c>
    </row>
    <row r="137" spans="1:9" x14ac:dyDescent="0.3">
      <c r="A137" t="s">
        <v>58</v>
      </c>
      <c r="B137">
        <v>900</v>
      </c>
      <c r="C137">
        <v>900</v>
      </c>
      <c r="D137">
        <v>5</v>
      </c>
      <c r="E137">
        <f t="shared" si="15"/>
        <v>856388</v>
      </c>
      <c r="F137" s="3">
        <f t="shared" si="14"/>
        <v>0.95173045335633044</v>
      </c>
      <c r="G137">
        <v>319</v>
      </c>
      <c r="H137">
        <f t="shared" si="12"/>
        <v>287100</v>
      </c>
      <c r="I137">
        <f t="shared" si="13"/>
        <v>0</v>
      </c>
    </row>
    <row r="138" spans="1:9" x14ac:dyDescent="0.3">
      <c r="A138" t="s">
        <v>68</v>
      </c>
      <c r="B138">
        <v>1800</v>
      </c>
      <c r="C138">
        <v>600</v>
      </c>
      <c r="D138">
        <v>5</v>
      </c>
      <c r="E138">
        <f t="shared" si="15"/>
        <v>858188</v>
      </c>
      <c r="F138" s="3">
        <f t="shared" si="14"/>
        <v>0.95373084899013361</v>
      </c>
      <c r="G138">
        <v>1057</v>
      </c>
      <c r="H138">
        <f t="shared" si="12"/>
        <v>1902600</v>
      </c>
      <c r="I138">
        <f t="shared" si="13"/>
        <v>0</v>
      </c>
    </row>
    <row r="139" spans="1:9" x14ac:dyDescent="0.3">
      <c r="A139" t="s">
        <v>78</v>
      </c>
      <c r="B139">
        <v>2740</v>
      </c>
      <c r="C139">
        <v>680</v>
      </c>
      <c r="D139">
        <v>5</v>
      </c>
      <c r="E139">
        <f t="shared" si="15"/>
        <v>860928</v>
      </c>
      <c r="F139" s="3">
        <f t="shared" si="14"/>
        <v>0.95677589567714505</v>
      </c>
      <c r="G139">
        <v>1057</v>
      </c>
      <c r="H139">
        <f t="shared" si="12"/>
        <v>2896180</v>
      </c>
      <c r="I139">
        <f t="shared" si="13"/>
        <v>0</v>
      </c>
    </row>
    <row r="140" spans="1:9" x14ac:dyDescent="0.3">
      <c r="A140" t="s">
        <v>89</v>
      </c>
      <c r="B140">
        <v>4500</v>
      </c>
      <c r="C140">
        <v>1500</v>
      </c>
      <c r="D140">
        <v>5</v>
      </c>
      <c r="E140">
        <f t="shared" si="15"/>
        <v>865428</v>
      </c>
      <c r="F140" s="3">
        <f t="shared" si="14"/>
        <v>0.96177688476165291</v>
      </c>
      <c r="G140">
        <v>516</v>
      </c>
      <c r="H140">
        <f t="shared" si="12"/>
        <v>2322000</v>
      </c>
      <c r="I140">
        <f t="shared" si="13"/>
        <v>0</v>
      </c>
    </row>
    <row r="141" spans="1:9" x14ac:dyDescent="0.3">
      <c r="A141" t="s">
        <v>67</v>
      </c>
      <c r="B141">
        <v>2200</v>
      </c>
      <c r="C141">
        <v>700</v>
      </c>
      <c r="D141">
        <v>4</v>
      </c>
      <c r="E141">
        <f t="shared" si="15"/>
        <v>867628</v>
      </c>
      <c r="F141" s="3">
        <f t="shared" si="14"/>
        <v>0.96422181275852337</v>
      </c>
      <c r="G141">
        <v>650</v>
      </c>
      <c r="H141">
        <f t="shared" si="12"/>
        <v>1430000</v>
      </c>
      <c r="I141">
        <f t="shared" si="13"/>
        <v>0</v>
      </c>
    </row>
    <row r="142" spans="1:9" x14ac:dyDescent="0.3">
      <c r="A142" t="s">
        <v>70</v>
      </c>
      <c r="B142">
        <v>2800</v>
      </c>
      <c r="C142">
        <v>908</v>
      </c>
      <c r="D142">
        <v>4</v>
      </c>
      <c r="E142">
        <f t="shared" si="15"/>
        <v>870428</v>
      </c>
      <c r="F142" s="3">
        <f t="shared" si="14"/>
        <v>0.96733353929999488</v>
      </c>
      <c r="G142">
        <v>319</v>
      </c>
      <c r="H142">
        <f t="shared" si="12"/>
        <v>893200</v>
      </c>
      <c r="I142">
        <f t="shared" si="13"/>
        <v>0</v>
      </c>
    </row>
    <row r="143" spans="1:9" x14ac:dyDescent="0.3">
      <c r="A143" t="s">
        <v>74</v>
      </c>
      <c r="B143">
        <v>3060</v>
      </c>
      <c r="C143">
        <v>1200</v>
      </c>
      <c r="D143">
        <v>4</v>
      </c>
      <c r="E143">
        <f t="shared" si="15"/>
        <v>873488</v>
      </c>
      <c r="F143" s="3">
        <f t="shared" si="14"/>
        <v>0.97073421187746023</v>
      </c>
      <c r="G143">
        <v>516</v>
      </c>
      <c r="H143">
        <f t="shared" si="12"/>
        <v>1578960</v>
      </c>
      <c r="I143">
        <f t="shared" si="13"/>
        <v>0</v>
      </c>
    </row>
    <row r="144" spans="1:9" x14ac:dyDescent="0.3">
      <c r="A144" t="s">
        <v>77</v>
      </c>
      <c r="B144">
        <v>3188</v>
      </c>
      <c r="C144">
        <v>950</v>
      </c>
      <c r="D144">
        <v>4</v>
      </c>
      <c r="E144">
        <f t="shared" si="15"/>
        <v>876676</v>
      </c>
      <c r="F144" s="3">
        <f t="shared" si="14"/>
        <v>0.97427713481110712</v>
      </c>
      <c r="G144">
        <v>319</v>
      </c>
      <c r="H144">
        <f t="shared" si="12"/>
        <v>1016972</v>
      </c>
      <c r="I144">
        <f t="shared" si="13"/>
        <v>0</v>
      </c>
    </row>
    <row r="145" spans="1:9" x14ac:dyDescent="0.3">
      <c r="A145" t="s">
        <v>82</v>
      </c>
      <c r="B145">
        <v>3902</v>
      </c>
      <c r="C145">
        <v>908</v>
      </c>
      <c r="D145">
        <v>4</v>
      </c>
      <c r="E145">
        <f t="shared" si="15"/>
        <v>880578</v>
      </c>
      <c r="F145" s="3">
        <f t="shared" si="14"/>
        <v>0.97861354801282918</v>
      </c>
      <c r="G145">
        <v>319</v>
      </c>
      <c r="H145">
        <f t="shared" si="12"/>
        <v>1244738</v>
      </c>
      <c r="I145">
        <f t="shared" si="13"/>
        <v>0</v>
      </c>
    </row>
    <row r="146" spans="1:9" x14ac:dyDescent="0.3">
      <c r="A146" t="s">
        <v>87</v>
      </c>
      <c r="B146">
        <v>4850</v>
      </c>
      <c r="C146">
        <v>800</v>
      </c>
      <c r="D146">
        <v>4</v>
      </c>
      <c r="E146">
        <f t="shared" si="15"/>
        <v>885428</v>
      </c>
      <c r="F146" s="3">
        <f t="shared" si="14"/>
        <v>0.98400350291502092</v>
      </c>
      <c r="G146">
        <v>650</v>
      </c>
      <c r="H146">
        <f t="shared" si="12"/>
        <v>3152500</v>
      </c>
      <c r="I146">
        <f t="shared" si="13"/>
        <v>0</v>
      </c>
    </row>
    <row r="147" spans="1:9" x14ac:dyDescent="0.3">
      <c r="A147" t="s">
        <v>92</v>
      </c>
      <c r="B147">
        <v>6120</v>
      </c>
      <c r="C147">
        <v>1740</v>
      </c>
      <c r="D147">
        <v>4</v>
      </c>
      <c r="E147">
        <f t="shared" si="15"/>
        <v>891548</v>
      </c>
      <c r="F147" s="3">
        <f t="shared" si="14"/>
        <v>0.99080484806995162</v>
      </c>
      <c r="G147">
        <v>516</v>
      </c>
      <c r="H147">
        <f t="shared" si="12"/>
        <v>3157920</v>
      </c>
      <c r="I147">
        <f t="shared" si="13"/>
        <v>0</v>
      </c>
    </row>
    <row r="148" spans="1:9" x14ac:dyDescent="0.3">
      <c r="A148" t="s">
        <v>53</v>
      </c>
      <c r="B148">
        <v>1032</v>
      </c>
      <c r="C148">
        <v>560</v>
      </c>
      <c r="D148">
        <v>3</v>
      </c>
      <c r="E148">
        <f t="shared" si="15"/>
        <v>892580</v>
      </c>
      <c r="F148" s="3">
        <f t="shared" si="14"/>
        <v>0.99195174156666543</v>
      </c>
      <c r="G148">
        <v>1057</v>
      </c>
      <c r="H148">
        <f t="shared" si="12"/>
        <v>1090824</v>
      </c>
      <c r="I148">
        <f t="shared" si="13"/>
        <v>0</v>
      </c>
    </row>
    <row r="149" spans="1:9" x14ac:dyDescent="0.3">
      <c r="A149" t="s">
        <v>57</v>
      </c>
      <c r="B149">
        <v>1250</v>
      </c>
      <c r="C149">
        <v>600</v>
      </c>
      <c r="D149">
        <v>3</v>
      </c>
      <c r="E149">
        <f t="shared" si="15"/>
        <v>893830</v>
      </c>
      <c r="F149" s="3">
        <f t="shared" si="14"/>
        <v>0.99334090520125096</v>
      </c>
      <c r="G149">
        <v>1057</v>
      </c>
      <c r="H149">
        <f t="shared" si="12"/>
        <v>1321250</v>
      </c>
      <c r="I149">
        <f t="shared" si="13"/>
        <v>0</v>
      </c>
    </row>
    <row r="150" spans="1:9" x14ac:dyDescent="0.3">
      <c r="A150" t="s">
        <v>63</v>
      </c>
      <c r="B150">
        <v>2033</v>
      </c>
      <c r="C150">
        <v>681</v>
      </c>
      <c r="D150">
        <v>3</v>
      </c>
      <c r="E150">
        <f t="shared" si="15"/>
        <v>895863</v>
      </c>
      <c r="F150" s="3">
        <f t="shared" si="14"/>
        <v>0.99560024093654076</v>
      </c>
      <c r="G150">
        <v>1057</v>
      </c>
      <c r="H150">
        <f t="shared" si="12"/>
        <v>2148881</v>
      </c>
      <c r="I150">
        <f t="shared" si="13"/>
        <v>0</v>
      </c>
    </row>
    <row r="151" spans="1:9" x14ac:dyDescent="0.3">
      <c r="A151" t="s">
        <v>65</v>
      </c>
      <c r="B151">
        <v>2320</v>
      </c>
      <c r="C151">
        <v>600</v>
      </c>
      <c r="D151">
        <v>3</v>
      </c>
      <c r="E151">
        <f t="shared" si="15"/>
        <v>898183</v>
      </c>
      <c r="F151" s="3">
        <f t="shared" si="14"/>
        <v>0.99817852864233148</v>
      </c>
      <c r="G151">
        <v>1057</v>
      </c>
      <c r="H151">
        <f t="shared" si="12"/>
        <v>2452240</v>
      </c>
      <c r="I151">
        <f t="shared" si="13"/>
        <v>0</v>
      </c>
    </row>
    <row r="152" spans="1:9" x14ac:dyDescent="0.3">
      <c r="A152" t="s">
        <v>46</v>
      </c>
      <c r="B152">
        <v>1140</v>
      </c>
      <c r="C152">
        <v>600</v>
      </c>
      <c r="D152">
        <v>2</v>
      </c>
      <c r="E152">
        <f t="shared" si="15"/>
        <v>899323</v>
      </c>
      <c r="F152" s="3">
        <f t="shared" si="14"/>
        <v>0.99944544587707351</v>
      </c>
      <c r="G152">
        <v>1057</v>
      </c>
      <c r="H152">
        <f t="shared" si="12"/>
        <v>1204980</v>
      </c>
      <c r="I152">
        <f t="shared" si="13"/>
        <v>0</v>
      </c>
    </row>
    <row r="153" spans="1:9" x14ac:dyDescent="0.3">
      <c r="A153" t="s">
        <v>22</v>
      </c>
      <c r="B153">
        <v>499</v>
      </c>
      <c r="C153">
        <v>1800</v>
      </c>
      <c r="D153">
        <v>1</v>
      </c>
      <c r="E153">
        <f t="shared" si="15"/>
        <v>899822</v>
      </c>
      <c r="F153" s="3">
        <f t="shared" si="14"/>
        <v>1</v>
      </c>
      <c r="G153">
        <v>516</v>
      </c>
      <c r="H153">
        <f t="shared" si="12"/>
        <v>257484</v>
      </c>
      <c r="I153">
        <f t="shared" si="13"/>
        <v>0</v>
      </c>
    </row>
  </sheetData>
  <autoFilter ref="A1:I1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 Singh</cp:lastModifiedBy>
  <dcterms:created xsi:type="dcterms:W3CDTF">2026-06-01T13:55:11Z</dcterms:created>
  <dcterms:modified xsi:type="dcterms:W3CDTF">2026-06-05T06:53:33Z</dcterms:modified>
</cp:coreProperties>
</file>